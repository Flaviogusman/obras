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o.gusman.SDI\Desktop\Flavio\IA\Relatórios\"/>
    </mc:Choice>
  </mc:AlternateContent>
  <xr:revisionPtr revIDLastSave="0" documentId="8_{B95B38B8-51C0-4120-8C87-9B55A37D90D3}" xr6:coauthVersionLast="47" xr6:coauthVersionMax="47" xr10:uidLastSave="{00000000-0000-0000-0000-000000000000}"/>
  <bookViews>
    <workbookView xWindow="-108" yWindow="-108" windowWidth="23256" windowHeight="12456" xr2:uid="{69C87F11-5D58-4788-82D4-2754C3076D4C}"/>
  </bookViews>
  <sheets>
    <sheet name="PLATZ" sheetId="5" r:id="rId1"/>
    <sheet name="SABARÁ" sheetId="8" r:id="rId2"/>
  </sheets>
  <definedNames>
    <definedName name="\0">#REF!</definedName>
    <definedName name="\1">#REF!</definedName>
    <definedName name="\A">#REF!</definedName>
    <definedName name="\b">#N/A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z">#REF!</definedName>
    <definedName name="_">#REF!</definedName>
    <definedName name="___" hidden="1">#REF!</definedName>
    <definedName name="__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la29" hidden="1">#REF!</definedName>
    <definedName name="____________________________________la3" hidden="1">#REF!</definedName>
    <definedName name="____________________________________la31" hidden="1">#REF!</definedName>
    <definedName name="____________________________________la32" hidden="1">#REF!</definedName>
    <definedName name="____________________________________la4" hidden="1">#REF!</definedName>
    <definedName name="____________________________________la5" hidden="1">#REF!</definedName>
    <definedName name="____________________________________la6" hidden="1">#REF!</definedName>
    <definedName name="____________________________________la7" hidden="1">#REF!</definedName>
    <definedName name="____________________________________la8" hidden="1">#REF!</definedName>
    <definedName name="____________________________________la9" hidden="1">#REF!</definedName>
    <definedName name="____________________________________lb1" hidden="1">#REF!</definedName>
    <definedName name="____________________________________lb10" hidden="1">#REF!</definedName>
    <definedName name="____________________________________lb11" hidden="1">#REF!</definedName>
    <definedName name="____________________________________lb12" hidden="1">#REF!</definedName>
    <definedName name="____________________________________lb13" hidden="1">#REF!</definedName>
    <definedName name="____________________________________lb14" hidden="1">#REF!</definedName>
    <definedName name="____________________________________lb15" hidden="1">#REF!</definedName>
    <definedName name="____________________________________lb16" hidden="1">#REF!</definedName>
    <definedName name="____________________________________lb17" hidden="1">#REF!</definedName>
    <definedName name="____________________________________lb18" hidden="1">#REF!</definedName>
    <definedName name="____________________________________lb19" hidden="1">#REF!</definedName>
    <definedName name="____________________________________lb2" hidden="1">#REF!</definedName>
    <definedName name="____________________________________lb20" hidden="1">#REF!</definedName>
    <definedName name="____________________________________lb21" hidden="1">#REF!</definedName>
    <definedName name="____________________________________lb22" hidden="1">#REF!</definedName>
    <definedName name="____________________________________lb23" hidden="1">#REF!</definedName>
    <definedName name="____________________________________lb24" hidden="1">#REF!</definedName>
    <definedName name="____________________________________lb25" hidden="1">#REF!</definedName>
    <definedName name="____________________________________lb27" hidden="1">#REF!</definedName>
    <definedName name="____________________________________lb28" hidden="1">#REF!</definedName>
    <definedName name="____________________________________lb29" hidden="1">#REF!</definedName>
    <definedName name="____________________________________lb3" hidden="1">#REF!</definedName>
    <definedName name="____________________________________lb30" hidden="1">#REF!</definedName>
    <definedName name="____________________________________lb31" hidden="1">#REF!</definedName>
    <definedName name="____________________________________lb32" hidden="1">#REF!</definedName>
    <definedName name="____________________________________lb4" hidden="1">#REF!</definedName>
    <definedName name="____________________________________lb5" hidden="1">#REF!</definedName>
    <definedName name="____________________________________lb6" hidden="1">#REF!</definedName>
    <definedName name="____________________________________lb7" hidden="1">#REF!</definedName>
    <definedName name="____________________________________lb8" hidden="1">#REF!</definedName>
    <definedName name="____________________________________lb9" hidden="1">#REF!</definedName>
    <definedName name="____________________________________lbc1" hidden="1">#REF!</definedName>
    <definedName name="____________________________________lbc10" hidden="1">#REF!</definedName>
    <definedName name="____________________________________lbc11" hidden="1">#REF!</definedName>
    <definedName name="____________________________________lbc12" hidden="1">#REF!</definedName>
    <definedName name="____________________________________lbc13" hidden="1">#REF!</definedName>
    <definedName name="____________________________________lbc14" hidden="1">#REF!</definedName>
    <definedName name="____________________________________lbc15" hidden="1">#REF!</definedName>
    <definedName name="____________________________________lbc16" hidden="1">#REF!</definedName>
    <definedName name="____________________________________lbc17" hidden="1">#REF!</definedName>
    <definedName name="____________________________________lbc18" hidden="1">#REF!</definedName>
    <definedName name="____________________________________lbc19" hidden="1">#REF!</definedName>
    <definedName name="____________________________________lbc2" hidden="1">#REF!</definedName>
    <definedName name="____________________________________lbc20" hidden="1">#REF!</definedName>
    <definedName name="____________________________________lbc21" hidden="1">#REF!</definedName>
    <definedName name="____________________________________lbc22" hidden="1">#REF!</definedName>
    <definedName name="____________________________________lbc23" hidden="1">#REF!</definedName>
    <definedName name="____________________________________lbc24" hidden="1">#REF!</definedName>
    <definedName name="____________________________________lbc25" hidden="1">#REF!</definedName>
    <definedName name="____________________________________lbc26" hidden="1">#REF!</definedName>
    <definedName name="____________________________________lbc27" hidden="1">#REF!</definedName>
    <definedName name="____________________________________lbc28" hidden="1">#REF!</definedName>
    <definedName name="____________________________________lbc29" hidden="1">#REF!</definedName>
    <definedName name="____________________________________lbc3" hidden="1">#REF!</definedName>
    <definedName name="____________________________________lbc31" hidden="1">#REF!</definedName>
    <definedName name="____________________________________lbc32" hidden="1">#REF!</definedName>
    <definedName name="____________________________________lbc4" hidden="1">#REF!</definedName>
    <definedName name="____________________________________lbc5" hidden="1">#REF!</definedName>
    <definedName name="____________________________________lbc6" hidden="1">#REF!</definedName>
    <definedName name="____________________________________lbc7" hidden="1">#REF!</definedName>
    <definedName name="____________________________________lbc8" hidden="1">#REF!</definedName>
    <definedName name="____________________________________lbc9" hidden="1">#REF!</definedName>
    <definedName name="____________________________________ld26" hidden="1">#REF!</definedName>
    <definedName name="____________________________________ld31" hidden="1">#REF!</definedName>
    <definedName name="____________________________________le31" hidden="1">#REF!</definedName>
    <definedName name="____________________________________lf31" hidden="1">#REF!</definedName>
    <definedName name="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x10" hidden="1">#REF!</definedName>
    <definedName name="____________________________________x11" hidden="1">#REF!</definedName>
    <definedName name="____________________________________x12" hidden="1">#REF!</definedName>
    <definedName name="____________________________________x13" hidden="1">#REF!</definedName>
    <definedName name="____________________________________x14" hidden="1">#REF!</definedName>
    <definedName name="____________________________________x15" hidden="1">#REF!</definedName>
    <definedName name="____________________________________x16" hidden="1">#REF!</definedName>
    <definedName name="____________________________________x17" hidden="1">#REF!</definedName>
    <definedName name="____________________________________x18" hidden="1">#REF!</definedName>
    <definedName name="____________________________________x19" hidden="1">#REF!</definedName>
    <definedName name="____________________________________x20" hidden="1">#REF!</definedName>
    <definedName name="____________________________________x21" hidden="1">#REF!</definedName>
    <definedName name="____________________________________x22" hidden="1">#REF!</definedName>
    <definedName name="____________________________________x23" hidden="1">#REF!</definedName>
    <definedName name="____________________________________x24" hidden="1">#REF!</definedName>
    <definedName name="____________________________________x25" hidden="1">#REF!</definedName>
    <definedName name="____________________________________x28" hidden="1">#REF!</definedName>
    <definedName name="____________________________________x29" hidden="1">#REF!</definedName>
    <definedName name="____________________________________x32" hidden="1">#REF!</definedName>
    <definedName name="____________________________________x4" hidden="1">#REF!</definedName>
    <definedName name="____________________________________x5" hidden="1">#REF!</definedName>
    <definedName name="____________________________________x6" hidden="1">#REF!</definedName>
    <definedName name="____________________________________x7" hidden="1">#REF!</definedName>
    <definedName name="____________________________________x8" hidden="1">#REF!</definedName>
    <definedName name="____________________________________x9" hidden="1">#REF!</definedName>
    <definedName name="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la29" hidden="1">#REF!</definedName>
    <definedName name="___________________________________la3" hidden="1">#REF!</definedName>
    <definedName name="___________________________________la31" hidden="1">#REF!</definedName>
    <definedName name="___________________________________la32" hidden="1">#REF!</definedName>
    <definedName name="___________________________________la4" hidden="1">#REF!</definedName>
    <definedName name="___________________________________la5" hidden="1">#REF!</definedName>
    <definedName name="___________________________________la6" hidden="1">#REF!</definedName>
    <definedName name="___________________________________la7" hidden="1">#REF!</definedName>
    <definedName name="___________________________________la8" hidden="1">#REF!</definedName>
    <definedName name="___________________________________la9" hidden="1">#REF!</definedName>
    <definedName name="___________________________________lb1" hidden="1">#REF!</definedName>
    <definedName name="___________________________________lb10" hidden="1">#REF!</definedName>
    <definedName name="___________________________________lb11" hidden="1">#REF!</definedName>
    <definedName name="___________________________________lb12" hidden="1">#REF!</definedName>
    <definedName name="___________________________________lb13" hidden="1">#REF!</definedName>
    <definedName name="___________________________________lb14" hidden="1">#REF!</definedName>
    <definedName name="___________________________________lb15" hidden="1">#REF!</definedName>
    <definedName name="___________________________________lb16" hidden="1">#REF!</definedName>
    <definedName name="___________________________________lb17" hidden="1">#REF!</definedName>
    <definedName name="___________________________________lb18" hidden="1">#REF!</definedName>
    <definedName name="___________________________________lb19" hidden="1">#REF!</definedName>
    <definedName name="___________________________________lb2" hidden="1">#REF!</definedName>
    <definedName name="___________________________________lb20" hidden="1">#REF!</definedName>
    <definedName name="___________________________________lb21" hidden="1">#REF!</definedName>
    <definedName name="___________________________________lb22" hidden="1">#REF!</definedName>
    <definedName name="___________________________________lb23" hidden="1">#REF!</definedName>
    <definedName name="___________________________________lb24" hidden="1">#REF!</definedName>
    <definedName name="___________________________________lb25" hidden="1">#REF!</definedName>
    <definedName name="___________________________________lb27" hidden="1">#REF!</definedName>
    <definedName name="___________________________________lb28" hidden="1">#REF!</definedName>
    <definedName name="___________________________________lb29" hidden="1">#REF!</definedName>
    <definedName name="___________________________________lb3" hidden="1">#REF!</definedName>
    <definedName name="___________________________________lb30" hidden="1">#REF!</definedName>
    <definedName name="___________________________________lb31" hidden="1">#REF!</definedName>
    <definedName name="___________________________________lb32" hidden="1">#REF!</definedName>
    <definedName name="___________________________________lb4" hidden="1">#REF!</definedName>
    <definedName name="___________________________________lb5" hidden="1">#REF!</definedName>
    <definedName name="___________________________________lb6" hidden="1">#REF!</definedName>
    <definedName name="___________________________________lb7" hidden="1">#REF!</definedName>
    <definedName name="___________________________________lb8" hidden="1">#REF!</definedName>
    <definedName name="___________________________________lb9" hidden="1">#REF!</definedName>
    <definedName name="___________________________________lbc1" hidden="1">#REF!</definedName>
    <definedName name="___________________________________lbc10" hidden="1">#REF!</definedName>
    <definedName name="___________________________________lbc11" hidden="1">#REF!</definedName>
    <definedName name="___________________________________lbc12" hidden="1">#REF!</definedName>
    <definedName name="___________________________________lbc13" hidden="1">#REF!</definedName>
    <definedName name="___________________________________lbc14" hidden="1">#REF!</definedName>
    <definedName name="___________________________________lbc15" hidden="1">#REF!</definedName>
    <definedName name="___________________________________lbc16" hidden="1">#REF!</definedName>
    <definedName name="___________________________________lbc17" hidden="1">#REF!</definedName>
    <definedName name="___________________________________lbc18" hidden="1">#REF!</definedName>
    <definedName name="___________________________________lbc19" hidden="1">#REF!</definedName>
    <definedName name="___________________________________lbc2" hidden="1">#REF!</definedName>
    <definedName name="___________________________________lbc20" hidden="1">#REF!</definedName>
    <definedName name="___________________________________lbc21" hidden="1">#REF!</definedName>
    <definedName name="___________________________________lbc22" hidden="1">#REF!</definedName>
    <definedName name="___________________________________lbc23" hidden="1">#REF!</definedName>
    <definedName name="___________________________________lbc24" hidden="1">#REF!</definedName>
    <definedName name="___________________________________lbc25" hidden="1">#REF!</definedName>
    <definedName name="___________________________________lbc26" hidden="1">#REF!</definedName>
    <definedName name="___________________________________lbc27" hidden="1">#REF!</definedName>
    <definedName name="___________________________________lbc28" hidden="1">#REF!</definedName>
    <definedName name="___________________________________lbc29" hidden="1">#REF!</definedName>
    <definedName name="___________________________________lbc3" hidden="1">#REF!</definedName>
    <definedName name="___________________________________lbc31" hidden="1">#REF!</definedName>
    <definedName name="___________________________________lbc32" hidden="1">#REF!</definedName>
    <definedName name="___________________________________lbc4" hidden="1">#REF!</definedName>
    <definedName name="___________________________________lbc5" hidden="1">#REF!</definedName>
    <definedName name="___________________________________lbc6" hidden="1">#REF!</definedName>
    <definedName name="___________________________________lbc7" hidden="1">#REF!</definedName>
    <definedName name="___________________________________lbc8" hidden="1">#REF!</definedName>
    <definedName name="___________________________________lbc9" hidden="1">#REF!</definedName>
    <definedName name="___________________________________ld26" hidden="1">#REF!</definedName>
    <definedName name="___________________________________ld31" hidden="1">#REF!</definedName>
    <definedName name="___________________________________le31" hidden="1">#REF!</definedName>
    <definedName name="___________________________________lf31" hidden="1">#REF!</definedName>
    <definedName name="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x10" hidden="1">#REF!</definedName>
    <definedName name="___________________________________x11" hidden="1">#REF!</definedName>
    <definedName name="___________________________________x12" hidden="1">#REF!</definedName>
    <definedName name="___________________________________x13" hidden="1">#REF!</definedName>
    <definedName name="___________________________________x14" hidden="1">#REF!</definedName>
    <definedName name="___________________________________x15" hidden="1">#REF!</definedName>
    <definedName name="___________________________________x16" hidden="1">#REF!</definedName>
    <definedName name="___________________________________x17" hidden="1">#REF!</definedName>
    <definedName name="___________________________________x18" hidden="1">#REF!</definedName>
    <definedName name="___________________________________x19" hidden="1">#REF!</definedName>
    <definedName name="___________________________________x20" hidden="1">#REF!</definedName>
    <definedName name="___________________________________x21" hidden="1">#REF!</definedName>
    <definedName name="___________________________________x22" hidden="1">#REF!</definedName>
    <definedName name="___________________________________x23" hidden="1">#REF!</definedName>
    <definedName name="___________________________________x24" hidden="1">#REF!</definedName>
    <definedName name="___________________________________x25" hidden="1">#REF!</definedName>
    <definedName name="___________________________________x28" hidden="1">#REF!</definedName>
    <definedName name="___________________________________x29" hidden="1">#REF!</definedName>
    <definedName name="___________________________________x32" hidden="1">#REF!</definedName>
    <definedName name="___________________________________x4" hidden="1">#REF!</definedName>
    <definedName name="___________________________________x5" hidden="1">#REF!</definedName>
    <definedName name="___________________________________x6" hidden="1">#REF!</definedName>
    <definedName name="___________________________________x7" hidden="1">#REF!</definedName>
    <definedName name="___________________________________x8" hidden="1">#REF!</definedName>
    <definedName name="___________________________________x9" hidden="1">#REF!</definedName>
    <definedName name="__________________________________la29" hidden="1">#REF!</definedName>
    <definedName name="__________________________________la3" hidden="1">#REF!</definedName>
    <definedName name="__________________________________la31" hidden="1">#REF!</definedName>
    <definedName name="__________________________________la32" hidden="1">#REF!</definedName>
    <definedName name="__________________________________la4" hidden="1">#REF!</definedName>
    <definedName name="__________________________________la5" hidden="1">#REF!</definedName>
    <definedName name="__________________________________la6" hidden="1">#REF!</definedName>
    <definedName name="__________________________________la7" hidden="1">#REF!</definedName>
    <definedName name="__________________________________la8" hidden="1">#REF!</definedName>
    <definedName name="__________________________________la9" hidden="1">#REF!</definedName>
    <definedName name="__________________________________lb1" hidden="1">#REF!</definedName>
    <definedName name="__________________________________lb10" hidden="1">#REF!</definedName>
    <definedName name="__________________________________lb11" hidden="1">#REF!</definedName>
    <definedName name="__________________________________lb12" hidden="1">#REF!</definedName>
    <definedName name="__________________________________lb13" hidden="1">#REF!</definedName>
    <definedName name="__________________________________lb14" hidden="1">#REF!</definedName>
    <definedName name="__________________________________lb15" hidden="1">#REF!</definedName>
    <definedName name="__________________________________lb16" hidden="1">#REF!</definedName>
    <definedName name="__________________________________lb17" hidden="1">#REF!</definedName>
    <definedName name="__________________________________lb18" hidden="1">#REF!</definedName>
    <definedName name="__________________________________lb19" hidden="1">#REF!</definedName>
    <definedName name="__________________________________lb2" hidden="1">#REF!</definedName>
    <definedName name="__________________________________lb20" hidden="1">#REF!</definedName>
    <definedName name="__________________________________lb21" hidden="1">#REF!</definedName>
    <definedName name="__________________________________lb22" hidden="1">#REF!</definedName>
    <definedName name="__________________________________lb23" hidden="1">#REF!</definedName>
    <definedName name="__________________________________lb24" hidden="1">#REF!</definedName>
    <definedName name="__________________________________lb25" hidden="1">#REF!</definedName>
    <definedName name="__________________________________lb27" hidden="1">#REF!</definedName>
    <definedName name="__________________________________lb28" hidden="1">#REF!</definedName>
    <definedName name="__________________________________lb29" hidden="1">#REF!</definedName>
    <definedName name="__________________________________lb3" hidden="1">#REF!</definedName>
    <definedName name="__________________________________lb30" hidden="1">#REF!</definedName>
    <definedName name="__________________________________lb31" hidden="1">#REF!</definedName>
    <definedName name="__________________________________lb32" hidden="1">#REF!</definedName>
    <definedName name="__________________________________lb4" hidden="1">#REF!</definedName>
    <definedName name="__________________________________lb5" hidden="1">#REF!</definedName>
    <definedName name="__________________________________lb6" hidden="1">#REF!</definedName>
    <definedName name="__________________________________lb7" hidden="1">#REF!</definedName>
    <definedName name="__________________________________lb8" hidden="1">#REF!</definedName>
    <definedName name="__________________________________lb9" hidden="1">#REF!</definedName>
    <definedName name="__________________________________lbc1" hidden="1">#REF!</definedName>
    <definedName name="__________________________________lbc10" hidden="1">#REF!</definedName>
    <definedName name="__________________________________lbc11" hidden="1">#REF!</definedName>
    <definedName name="__________________________________lbc12" hidden="1">#REF!</definedName>
    <definedName name="__________________________________lbc13" hidden="1">#REF!</definedName>
    <definedName name="__________________________________lbc14" hidden="1">#REF!</definedName>
    <definedName name="__________________________________lbc15" hidden="1">#REF!</definedName>
    <definedName name="__________________________________lbc16" hidden="1">#REF!</definedName>
    <definedName name="__________________________________lbc17" hidden="1">#REF!</definedName>
    <definedName name="__________________________________lbc18" hidden="1">#REF!</definedName>
    <definedName name="__________________________________lbc19" hidden="1">#REF!</definedName>
    <definedName name="__________________________________lbc2" hidden="1">#REF!</definedName>
    <definedName name="__________________________________lbc20" hidden="1">#REF!</definedName>
    <definedName name="__________________________________lbc21" hidden="1">#REF!</definedName>
    <definedName name="__________________________________lbc22" hidden="1">#REF!</definedName>
    <definedName name="__________________________________lbc23" hidden="1">#REF!</definedName>
    <definedName name="__________________________________lbc24" hidden="1">#REF!</definedName>
    <definedName name="__________________________________lbc25" hidden="1">#REF!</definedName>
    <definedName name="__________________________________lbc26" hidden="1">#REF!</definedName>
    <definedName name="__________________________________lbc27" hidden="1">#REF!</definedName>
    <definedName name="__________________________________lbc28" hidden="1">#REF!</definedName>
    <definedName name="__________________________________lbc29" hidden="1">#REF!</definedName>
    <definedName name="__________________________________lbc3" hidden="1">#REF!</definedName>
    <definedName name="__________________________________lbc31" hidden="1">#REF!</definedName>
    <definedName name="__________________________________lbc32" hidden="1">#REF!</definedName>
    <definedName name="__________________________________lbc4" hidden="1">#REF!</definedName>
    <definedName name="__________________________________lbc5" hidden="1">#REF!</definedName>
    <definedName name="__________________________________lbc6" hidden="1">#REF!</definedName>
    <definedName name="__________________________________lbc7" hidden="1">#REF!</definedName>
    <definedName name="__________________________________lbc8" hidden="1">#REF!</definedName>
    <definedName name="__________________________________lbc9" hidden="1">#REF!</definedName>
    <definedName name="__________________________________ld26" hidden="1">#REF!</definedName>
    <definedName name="__________________________________ld31" hidden="1">#REF!</definedName>
    <definedName name="__________________________________le31" hidden="1">#REF!</definedName>
    <definedName name="__________________________________lf31" hidden="1">#REF!</definedName>
    <definedName name="__________________________________x10" hidden="1">#REF!</definedName>
    <definedName name="__________________________________x11" hidden="1">#REF!</definedName>
    <definedName name="__________________________________x12" hidden="1">#REF!</definedName>
    <definedName name="__________________________________x13" hidden="1">#REF!</definedName>
    <definedName name="__________________________________x14" hidden="1">#REF!</definedName>
    <definedName name="__________________________________x15" hidden="1">#REF!</definedName>
    <definedName name="__________________________________x16" hidden="1">#REF!</definedName>
    <definedName name="__________________________________x17" hidden="1">#REF!</definedName>
    <definedName name="__________________________________x18" hidden="1">#REF!</definedName>
    <definedName name="__________________________________x19" hidden="1">#REF!</definedName>
    <definedName name="__________________________________x20" hidden="1">#REF!</definedName>
    <definedName name="__________________________________x21" hidden="1">#REF!</definedName>
    <definedName name="__________________________________x22" hidden="1">#REF!</definedName>
    <definedName name="__________________________________x23" hidden="1">#REF!</definedName>
    <definedName name="__________________________________x24" hidden="1">#REF!</definedName>
    <definedName name="__________________________________x25" hidden="1">#REF!</definedName>
    <definedName name="__________________________________x28" hidden="1">#REF!</definedName>
    <definedName name="__________________________________x29" hidden="1">#REF!</definedName>
    <definedName name="__________________________________x32" hidden="1">#REF!</definedName>
    <definedName name="__________________________________x4" hidden="1">#REF!</definedName>
    <definedName name="__________________________________x5" hidden="1">#REF!</definedName>
    <definedName name="__________________________________x6" hidden="1">#REF!</definedName>
    <definedName name="__________________________________x7" hidden="1">#REF!</definedName>
    <definedName name="__________________________________x8" hidden="1">#REF!</definedName>
    <definedName name="__________________________________x9" hidden="1">#REF!</definedName>
    <definedName name="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la29" hidden="1">#REF!</definedName>
    <definedName name="_________________________________la3" hidden="1">#REF!</definedName>
    <definedName name="_________________________________la31" hidden="1">#REF!</definedName>
    <definedName name="_________________________________la32" hidden="1">#REF!</definedName>
    <definedName name="_________________________________la4" hidden="1">#REF!</definedName>
    <definedName name="_________________________________la5" hidden="1">#REF!</definedName>
    <definedName name="_________________________________la6" hidden="1">#REF!</definedName>
    <definedName name="_________________________________la7" hidden="1">#REF!</definedName>
    <definedName name="_________________________________la8" hidden="1">#REF!</definedName>
    <definedName name="_________________________________la9" hidden="1">#REF!</definedName>
    <definedName name="_________________________________lb1" hidden="1">#REF!</definedName>
    <definedName name="_________________________________lb10" hidden="1">#REF!</definedName>
    <definedName name="_________________________________lb11" hidden="1">#REF!</definedName>
    <definedName name="_________________________________lb12" hidden="1">#REF!</definedName>
    <definedName name="_________________________________lb13" hidden="1">#REF!</definedName>
    <definedName name="_________________________________lb14" hidden="1">#REF!</definedName>
    <definedName name="_________________________________lb15" hidden="1">#REF!</definedName>
    <definedName name="_________________________________lb16" hidden="1">#REF!</definedName>
    <definedName name="_________________________________lb17" hidden="1">#REF!</definedName>
    <definedName name="_________________________________lb18" hidden="1">#REF!</definedName>
    <definedName name="_________________________________lb19" hidden="1">#REF!</definedName>
    <definedName name="_________________________________lb2" hidden="1">#REF!</definedName>
    <definedName name="_________________________________lb20" hidden="1">#REF!</definedName>
    <definedName name="_________________________________lb21" hidden="1">#REF!</definedName>
    <definedName name="_________________________________lb22" hidden="1">#REF!</definedName>
    <definedName name="_________________________________lb23" hidden="1">#REF!</definedName>
    <definedName name="_________________________________lb24" hidden="1">#REF!</definedName>
    <definedName name="_________________________________lb25" hidden="1">#REF!</definedName>
    <definedName name="_________________________________lb27" hidden="1">#REF!</definedName>
    <definedName name="_________________________________lb28" hidden="1">#REF!</definedName>
    <definedName name="_________________________________lb29" hidden="1">#REF!</definedName>
    <definedName name="_________________________________lb3" hidden="1">#REF!</definedName>
    <definedName name="_________________________________lb30" hidden="1">#REF!</definedName>
    <definedName name="_________________________________lb31" hidden="1">#REF!</definedName>
    <definedName name="_________________________________lb32" hidden="1">#REF!</definedName>
    <definedName name="_________________________________lb4" hidden="1">#REF!</definedName>
    <definedName name="_________________________________lb5" hidden="1">#REF!</definedName>
    <definedName name="_________________________________lb6" hidden="1">#REF!</definedName>
    <definedName name="_________________________________lb7" hidden="1">#REF!</definedName>
    <definedName name="_________________________________lb8" hidden="1">#REF!</definedName>
    <definedName name="_________________________________lb9" hidden="1">#REF!</definedName>
    <definedName name="_________________________________lbc1" hidden="1">#REF!</definedName>
    <definedName name="_________________________________lbc10" hidden="1">#REF!</definedName>
    <definedName name="_________________________________lbc11" hidden="1">#REF!</definedName>
    <definedName name="_________________________________lbc12" hidden="1">#REF!</definedName>
    <definedName name="_________________________________lbc13" hidden="1">#REF!</definedName>
    <definedName name="_________________________________lbc14" hidden="1">#REF!</definedName>
    <definedName name="_________________________________lbc15" hidden="1">#REF!</definedName>
    <definedName name="_________________________________lbc16" hidden="1">#REF!</definedName>
    <definedName name="_________________________________lbc17" hidden="1">#REF!</definedName>
    <definedName name="_________________________________lbc18" hidden="1">#REF!</definedName>
    <definedName name="_________________________________lbc19" hidden="1">#REF!</definedName>
    <definedName name="_________________________________lbc2" hidden="1">#REF!</definedName>
    <definedName name="_________________________________lbc20" hidden="1">#REF!</definedName>
    <definedName name="_________________________________lbc21" hidden="1">#REF!</definedName>
    <definedName name="_________________________________lbc22" hidden="1">#REF!</definedName>
    <definedName name="_________________________________lbc23" hidden="1">#REF!</definedName>
    <definedName name="_________________________________lbc24" hidden="1">#REF!</definedName>
    <definedName name="_________________________________lbc25" hidden="1">#REF!</definedName>
    <definedName name="_________________________________lbc26" hidden="1">#REF!</definedName>
    <definedName name="_________________________________lbc27" hidden="1">#REF!</definedName>
    <definedName name="_________________________________lbc28" hidden="1">#REF!</definedName>
    <definedName name="_________________________________lbc29" hidden="1">#REF!</definedName>
    <definedName name="_________________________________lbc3" hidden="1">#REF!</definedName>
    <definedName name="_________________________________lbc31" hidden="1">#REF!</definedName>
    <definedName name="_________________________________lbc32" hidden="1">#REF!</definedName>
    <definedName name="_________________________________lbc4" hidden="1">#REF!</definedName>
    <definedName name="_________________________________lbc5" hidden="1">#REF!</definedName>
    <definedName name="_________________________________lbc6" hidden="1">#REF!</definedName>
    <definedName name="_________________________________lbc7" hidden="1">#REF!</definedName>
    <definedName name="_________________________________lbc8" hidden="1">#REF!</definedName>
    <definedName name="_________________________________lbc9" hidden="1">#REF!</definedName>
    <definedName name="_________________________________ld26" hidden="1">#REF!</definedName>
    <definedName name="_________________________________ld31" hidden="1">#REF!</definedName>
    <definedName name="_________________________________le31" hidden="1">#REF!</definedName>
    <definedName name="_________________________________lf31" hidden="1">#REF!</definedName>
    <definedName name="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x10" hidden="1">#REF!</definedName>
    <definedName name="_________________________________x11" hidden="1">#REF!</definedName>
    <definedName name="_________________________________x12" hidden="1">#REF!</definedName>
    <definedName name="_________________________________x13" hidden="1">#REF!</definedName>
    <definedName name="_________________________________x14" hidden="1">#REF!</definedName>
    <definedName name="_________________________________x15" hidden="1">#REF!</definedName>
    <definedName name="_________________________________x16" hidden="1">#REF!</definedName>
    <definedName name="_________________________________x17" hidden="1">#REF!</definedName>
    <definedName name="_________________________________x18" hidden="1">#REF!</definedName>
    <definedName name="_________________________________x19" hidden="1">#REF!</definedName>
    <definedName name="_________________________________x20" hidden="1">#REF!</definedName>
    <definedName name="_________________________________x21" hidden="1">#REF!</definedName>
    <definedName name="_________________________________x22" hidden="1">#REF!</definedName>
    <definedName name="_________________________________x23" hidden="1">#REF!</definedName>
    <definedName name="_________________________________x24" hidden="1">#REF!</definedName>
    <definedName name="_________________________________x25" hidden="1">#REF!</definedName>
    <definedName name="_________________________________x28" hidden="1">#REF!</definedName>
    <definedName name="_________________________________x29" hidden="1">#REF!</definedName>
    <definedName name="_________________________________x32" hidden="1">#REF!</definedName>
    <definedName name="_________________________________x4" hidden="1">#REF!</definedName>
    <definedName name="_________________________________x5" hidden="1">#REF!</definedName>
    <definedName name="_________________________________x6" hidden="1">#REF!</definedName>
    <definedName name="_________________________________x7" hidden="1">#REF!</definedName>
    <definedName name="_________________________________x8" hidden="1">#REF!</definedName>
    <definedName name="_________________________________x9" hidden="1">#REF!</definedName>
    <definedName name="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la29" hidden="1">#REF!</definedName>
    <definedName name="________________________________la3" hidden="1">#REF!</definedName>
    <definedName name="________________________________la31" hidden="1">#REF!</definedName>
    <definedName name="________________________________la32" hidden="1">#REF!</definedName>
    <definedName name="________________________________la4" hidden="1">#REF!</definedName>
    <definedName name="________________________________la5" hidden="1">#REF!</definedName>
    <definedName name="________________________________la6" hidden="1">#REF!</definedName>
    <definedName name="________________________________la7" hidden="1">#REF!</definedName>
    <definedName name="________________________________la8" hidden="1">#REF!</definedName>
    <definedName name="________________________________la9" hidden="1">#REF!</definedName>
    <definedName name="________________________________lb1" hidden="1">#REF!</definedName>
    <definedName name="________________________________lb10" hidden="1">#REF!</definedName>
    <definedName name="________________________________lb11" hidden="1">#REF!</definedName>
    <definedName name="________________________________lb12" hidden="1">#REF!</definedName>
    <definedName name="________________________________lb13" hidden="1">#REF!</definedName>
    <definedName name="________________________________lb14" hidden="1">#REF!</definedName>
    <definedName name="________________________________lb15" hidden="1">#REF!</definedName>
    <definedName name="________________________________lb16" hidden="1">#REF!</definedName>
    <definedName name="________________________________lb17" hidden="1">#REF!</definedName>
    <definedName name="________________________________lb18" hidden="1">#REF!</definedName>
    <definedName name="________________________________lb19" hidden="1">#REF!</definedName>
    <definedName name="________________________________lb2" hidden="1">#REF!</definedName>
    <definedName name="________________________________lb20" hidden="1">#REF!</definedName>
    <definedName name="________________________________lb21" hidden="1">#REF!</definedName>
    <definedName name="________________________________lb22" hidden="1">#REF!</definedName>
    <definedName name="________________________________lb23" hidden="1">#REF!</definedName>
    <definedName name="________________________________lb24" hidden="1">#REF!</definedName>
    <definedName name="________________________________lb25" hidden="1">#REF!</definedName>
    <definedName name="________________________________lb27" hidden="1">#REF!</definedName>
    <definedName name="________________________________lb28" hidden="1">#REF!</definedName>
    <definedName name="________________________________lb29" hidden="1">#REF!</definedName>
    <definedName name="________________________________lb3" hidden="1">#REF!</definedName>
    <definedName name="________________________________lb30" hidden="1">#REF!</definedName>
    <definedName name="________________________________lb31" hidden="1">#REF!</definedName>
    <definedName name="________________________________lb32" hidden="1">#REF!</definedName>
    <definedName name="________________________________lb4" hidden="1">#REF!</definedName>
    <definedName name="________________________________lb5" hidden="1">#REF!</definedName>
    <definedName name="________________________________lb6" hidden="1">#REF!</definedName>
    <definedName name="________________________________lb7" hidden="1">#REF!</definedName>
    <definedName name="________________________________lb8" hidden="1">#REF!</definedName>
    <definedName name="________________________________lb9" hidden="1">#REF!</definedName>
    <definedName name="________________________________lbc1" hidden="1">#REF!</definedName>
    <definedName name="________________________________lbc10" hidden="1">#REF!</definedName>
    <definedName name="________________________________lbc11" hidden="1">#REF!</definedName>
    <definedName name="________________________________lbc12" hidden="1">#REF!</definedName>
    <definedName name="________________________________lbc13" hidden="1">#REF!</definedName>
    <definedName name="________________________________lbc14" hidden="1">#REF!</definedName>
    <definedName name="________________________________lbc15" hidden="1">#REF!</definedName>
    <definedName name="________________________________lbc16" hidden="1">#REF!</definedName>
    <definedName name="________________________________lbc17" hidden="1">#REF!</definedName>
    <definedName name="________________________________lbc18" hidden="1">#REF!</definedName>
    <definedName name="________________________________lbc19" hidden="1">#REF!</definedName>
    <definedName name="________________________________lbc2" hidden="1">#REF!</definedName>
    <definedName name="________________________________lbc20" hidden="1">#REF!</definedName>
    <definedName name="________________________________lbc21" hidden="1">#REF!</definedName>
    <definedName name="________________________________lbc22" hidden="1">#REF!</definedName>
    <definedName name="________________________________lbc23" hidden="1">#REF!</definedName>
    <definedName name="________________________________lbc24" hidden="1">#REF!</definedName>
    <definedName name="________________________________lbc25" hidden="1">#REF!</definedName>
    <definedName name="________________________________lbc26" hidden="1">#REF!</definedName>
    <definedName name="________________________________lbc27" hidden="1">#REF!</definedName>
    <definedName name="________________________________lbc28" hidden="1">#REF!</definedName>
    <definedName name="________________________________lbc29" hidden="1">#REF!</definedName>
    <definedName name="________________________________lbc3" hidden="1">#REF!</definedName>
    <definedName name="________________________________lbc31" hidden="1">#REF!</definedName>
    <definedName name="________________________________lbc32" hidden="1">#REF!</definedName>
    <definedName name="________________________________lbc4" hidden="1">#REF!</definedName>
    <definedName name="________________________________lbc5" hidden="1">#REF!</definedName>
    <definedName name="________________________________lbc6" hidden="1">#REF!</definedName>
    <definedName name="________________________________lbc7" hidden="1">#REF!</definedName>
    <definedName name="________________________________lbc8" hidden="1">#REF!</definedName>
    <definedName name="________________________________lbc9" hidden="1">#REF!</definedName>
    <definedName name="________________________________ld26" hidden="1">#REF!</definedName>
    <definedName name="________________________________ld31" hidden="1">#REF!</definedName>
    <definedName name="________________________________le31" hidden="1">#REF!</definedName>
    <definedName name="________________________________lf31" hidden="1">#REF!</definedName>
    <definedName name="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x10" hidden="1">#REF!</definedName>
    <definedName name="________________________________x11" hidden="1">#REF!</definedName>
    <definedName name="________________________________x12" hidden="1">#REF!</definedName>
    <definedName name="________________________________x13" hidden="1">#REF!</definedName>
    <definedName name="________________________________x14" hidden="1">#REF!</definedName>
    <definedName name="________________________________x15" hidden="1">#REF!</definedName>
    <definedName name="________________________________x16" hidden="1">#REF!</definedName>
    <definedName name="________________________________x17" hidden="1">#REF!</definedName>
    <definedName name="________________________________x18" hidden="1">#REF!</definedName>
    <definedName name="________________________________x19" hidden="1">#REF!</definedName>
    <definedName name="________________________________x20" hidden="1">#REF!</definedName>
    <definedName name="________________________________x21" hidden="1">#REF!</definedName>
    <definedName name="________________________________x22" hidden="1">#REF!</definedName>
    <definedName name="________________________________x23" hidden="1">#REF!</definedName>
    <definedName name="________________________________x24" hidden="1">#REF!</definedName>
    <definedName name="________________________________x25" hidden="1">#REF!</definedName>
    <definedName name="________________________________x28" hidden="1">#REF!</definedName>
    <definedName name="________________________________x29" hidden="1">#REF!</definedName>
    <definedName name="________________________________x32" hidden="1">#REF!</definedName>
    <definedName name="________________________________x4" hidden="1">#REF!</definedName>
    <definedName name="________________________________x5" hidden="1">#REF!</definedName>
    <definedName name="________________________________x6" hidden="1">#REF!</definedName>
    <definedName name="________________________________x7" hidden="1">#REF!</definedName>
    <definedName name="________________________________x8" hidden="1">#REF!</definedName>
    <definedName name="________________________________x9" hidden="1">#REF!</definedName>
    <definedName name="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la29" hidden="1">#REF!</definedName>
    <definedName name="_______________________________la3" hidden="1">#REF!</definedName>
    <definedName name="_______________________________la31" hidden="1">#REF!</definedName>
    <definedName name="_______________________________la32" hidden="1">#REF!</definedName>
    <definedName name="_______________________________la4" hidden="1">#REF!</definedName>
    <definedName name="_______________________________la5" hidden="1">#REF!</definedName>
    <definedName name="_______________________________la6" hidden="1">#REF!</definedName>
    <definedName name="_______________________________la7" hidden="1">#REF!</definedName>
    <definedName name="_______________________________la8" hidden="1">#REF!</definedName>
    <definedName name="_______________________________la9" hidden="1">#REF!</definedName>
    <definedName name="_______________________________lb1" hidden="1">#REF!</definedName>
    <definedName name="_______________________________lb10" hidden="1">#REF!</definedName>
    <definedName name="_______________________________lb11" hidden="1">#REF!</definedName>
    <definedName name="_______________________________lb12" hidden="1">#REF!</definedName>
    <definedName name="_______________________________lb13" hidden="1">#REF!</definedName>
    <definedName name="_______________________________lb14" hidden="1">#REF!</definedName>
    <definedName name="_______________________________lb15" hidden="1">#REF!</definedName>
    <definedName name="_______________________________lb16" hidden="1">#REF!</definedName>
    <definedName name="_______________________________lb17" hidden="1">#REF!</definedName>
    <definedName name="_______________________________lb18" hidden="1">#REF!</definedName>
    <definedName name="_______________________________lb19" hidden="1">#REF!</definedName>
    <definedName name="_______________________________lb2" hidden="1">#REF!</definedName>
    <definedName name="_______________________________lb20" hidden="1">#REF!</definedName>
    <definedName name="_______________________________lb21" hidden="1">#REF!</definedName>
    <definedName name="_______________________________lb22" hidden="1">#REF!</definedName>
    <definedName name="_______________________________lb23" hidden="1">#REF!</definedName>
    <definedName name="_______________________________lb24" hidden="1">#REF!</definedName>
    <definedName name="_______________________________lb25" hidden="1">#REF!</definedName>
    <definedName name="_______________________________lb27" hidden="1">#REF!</definedName>
    <definedName name="_______________________________lb28" hidden="1">#REF!</definedName>
    <definedName name="_______________________________lb29" hidden="1">#REF!</definedName>
    <definedName name="_______________________________lb3" hidden="1">#REF!</definedName>
    <definedName name="_______________________________lb30" hidden="1">#REF!</definedName>
    <definedName name="_______________________________lb31" hidden="1">#REF!</definedName>
    <definedName name="_______________________________lb32" hidden="1">#REF!</definedName>
    <definedName name="_______________________________lb4" hidden="1">#REF!</definedName>
    <definedName name="_______________________________lb5" hidden="1">#REF!</definedName>
    <definedName name="_______________________________lb6" hidden="1">#REF!</definedName>
    <definedName name="_______________________________lb7" hidden="1">#REF!</definedName>
    <definedName name="_______________________________lb8" hidden="1">#REF!</definedName>
    <definedName name="_______________________________lb9" hidden="1">#REF!</definedName>
    <definedName name="_______________________________lbc1" hidden="1">#REF!</definedName>
    <definedName name="_______________________________lbc10" hidden="1">#REF!</definedName>
    <definedName name="_______________________________lbc11" hidden="1">#REF!</definedName>
    <definedName name="_______________________________lbc12" hidden="1">#REF!</definedName>
    <definedName name="_______________________________lbc13" hidden="1">#REF!</definedName>
    <definedName name="_______________________________lbc14" hidden="1">#REF!</definedName>
    <definedName name="_______________________________lbc15" hidden="1">#REF!</definedName>
    <definedName name="_______________________________lbc16" hidden="1">#REF!</definedName>
    <definedName name="_______________________________lbc17" hidden="1">#REF!</definedName>
    <definedName name="_______________________________lbc18" hidden="1">#REF!</definedName>
    <definedName name="_______________________________lbc19" hidden="1">#REF!</definedName>
    <definedName name="_______________________________lbc2" hidden="1">#REF!</definedName>
    <definedName name="_______________________________lbc20" hidden="1">#REF!</definedName>
    <definedName name="_______________________________lbc21" hidden="1">#REF!</definedName>
    <definedName name="_______________________________lbc22" hidden="1">#REF!</definedName>
    <definedName name="_______________________________lbc23" hidden="1">#REF!</definedName>
    <definedName name="_______________________________lbc24" hidden="1">#REF!</definedName>
    <definedName name="_______________________________lbc25" hidden="1">#REF!</definedName>
    <definedName name="_______________________________lbc26" hidden="1">#REF!</definedName>
    <definedName name="_______________________________lbc27" hidden="1">#REF!</definedName>
    <definedName name="_______________________________lbc28" hidden="1">#REF!</definedName>
    <definedName name="_______________________________lbc29" hidden="1">#REF!</definedName>
    <definedName name="_______________________________lbc3" hidden="1">#REF!</definedName>
    <definedName name="_______________________________lbc31" hidden="1">#REF!</definedName>
    <definedName name="_______________________________lbc32" hidden="1">#REF!</definedName>
    <definedName name="_______________________________lbc4" hidden="1">#REF!</definedName>
    <definedName name="_______________________________lbc5" hidden="1">#REF!</definedName>
    <definedName name="_______________________________lbc6" hidden="1">#REF!</definedName>
    <definedName name="_______________________________lbc7" hidden="1">#REF!</definedName>
    <definedName name="_______________________________lbc8" hidden="1">#REF!</definedName>
    <definedName name="_______________________________lbc9" hidden="1">#REF!</definedName>
    <definedName name="_______________________________ld26" hidden="1">#REF!</definedName>
    <definedName name="_______________________________ld31" hidden="1">#REF!</definedName>
    <definedName name="_______________________________le31" hidden="1">#REF!</definedName>
    <definedName name="_______________________________lf31" hidden="1">#REF!</definedName>
    <definedName name="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x10" hidden="1">#REF!</definedName>
    <definedName name="_______________________________x11" hidden="1">#REF!</definedName>
    <definedName name="_______________________________x12" hidden="1">#REF!</definedName>
    <definedName name="_______________________________x13" hidden="1">#REF!</definedName>
    <definedName name="_______________________________x14" hidden="1">#REF!</definedName>
    <definedName name="_______________________________x15" hidden="1">#REF!</definedName>
    <definedName name="_______________________________x16" hidden="1">#REF!</definedName>
    <definedName name="_______________________________x17" hidden="1">#REF!</definedName>
    <definedName name="_______________________________x18" hidden="1">#REF!</definedName>
    <definedName name="_______________________________x19" hidden="1">#REF!</definedName>
    <definedName name="_______________________________x20" hidden="1">#REF!</definedName>
    <definedName name="_______________________________x21" hidden="1">#REF!</definedName>
    <definedName name="_______________________________x22" hidden="1">#REF!</definedName>
    <definedName name="_______________________________x23" hidden="1">#REF!</definedName>
    <definedName name="_______________________________x24" hidden="1">#REF!</definedName>
    <definedName name="_______________________________x25" hidden="1">#REF!</definedName>
    <definedName name="_______________________________x28" hidden="1">#REF!</definedName>
    <definedName name="_______________________________x29" hidden="1">#REF!</definedName>
    <definedName name="_______________________________x32" hidden="1">#REF!</definedName>
    <definedName name="_______________________________x4" hidden="1">#REF!</definedName>
    <definedName name="_______________________________x5" hidden="1">#REF!</definedName>
    <definedName name="_______________________________x6" hidden="1">#REF!</definedName>
    <definedName name="_______________________________x7" hidden="1">#REF!</definedName>
    <definedName name="_______________________________x8" hidden="1">#REF!</definedName>
    <definedName name="_______________________________x9" hidden="1">#REF!</definedName>
    <definedName name="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la29" hidden="1">#REF!</definedName>
    <definedName name="______________________________la3" hidden="1">#REF!</definedName>
    <definedName name="______________________________la31" hidden="1">#REF!</definedName>
    <definedName name="______________________________la32" hidden="1">#REF!</definedName>
    <definedName name="______________________________la4" hidden="1">#REF!</definedName>
    <definedName name="______________________________la5" hidden="1">#REF!</definedName>
    <definedName name="______________________________la6" hidden="1">#REF!</definedName>
    <definedName name="______________________________la7" hidden="1">#REF!</definedName>
    <definedName name="______________________________la8" hidden="1">#REF!</definedName>
    <definedName name="______________________________la9" hidden="1">#REF!</definedName>
    <definedName name="______________________________lb1" hidden="1">#REF!</definedName>
    <definedName name="______________________________lb10" hidden="1">#REF!</definedName>
    <definedName name="______________________________lb11" hidden="1">#REF!</definedName>
    <definedName name="______________________________lb12" hidden="1">#REF!</definedName>
    <definedName name="______________________________lb13" hidden="1">#REF!</definedName>
    <definedName name="______________________________lb14" hidden="1">#REF!</definedName>
    <definedName name="______________________________lb15" hidden="1">#REF!</definedName>
    <definedName name="______________________________lb16" hidden="1">#REF!</definedName>
    <definedName name="______________________________lb17" hidden="1">#REF!</definedName>
    <definedName name="______________________________lb18" hidden="1">#REF!</definedName>
    <definedName name="______________________________lb19" hidden="1">#REF!</definedName>
    <definedName name="______________________________lb2" hidden="1">#REF!</definedName>
    <definedName name="______________________________lb20" hidden="1">#REF!</definedName>
    <definedName name="______________________________lb21" hidden="1">#REF!</definedName>
    <definedName name="______________________________lb22" hidden="1">#REF!</definedName>
    <definedName name="______________________________lb23" hidden="1">#REF!</definedName>
    <definedName name="______________________________lb24" hidden="1">#REF!</definedName>
    <definedName name="______________________________lb25" hidden="1">#REF!</definedName>
    <definedName name="______________________________lb27" hidden="1">#REF!</definedName>
    <definedName name="______________________________lb28" hidden="1">#REF!</definedName>
    <definedName name="______________________________lb29" hidden="1">#REF!</definedName>
    <definedName name="______________________________lb3" hidden="1">#REF!</definedName>
    <definedName name="______________________________lb30" hidden="1">#REF!</definedName>
    <definedName name="______________________________lb31" hidden="1">#REF!</definedName>
    <definedName name="______________________________lb32" hidden="1">#REF!</definedName>
    <definedName name="______________________________lb4" hidden="1">#REF!</definedName>
    <definedName name="______________________________lb5" hidden="1">#REF!</definedName>
    <definedName name="______________________________lb6" hidden="1">#REF!</definedName>
    <definedName name="______________________________lb7" hidden="1">#REF!</definedName>
    <definedName name="______________________________lb8" hidden="1">#REF!</definedName>
    <definedName name="______________________________lb9" hidden="1">#REF!</definedName>
    <definedName name="______________________________lbc1" hidden="1">#REF!</definedName>
    <definedName name="______________________________lbc10" hidden="1">#REF!</definedName>
    <definedName name="______________________________lbc11" hidden="1">#REF!</definedName>
    <definedName name="______________________________lbc12" hidden="1">#REF!</definedName>
    <definedName name="______________________________lbc13" hidden="1">#REF!</definedName>
    <definedName name="______________________________lbc14" hidden="1">#REF!</definedName>
    <definedName name="______________________________lbc15" hidden="1">#REF!</definedName>
    <definedName name="______________________________lbc16" hidden="1">#REF!</definedName>
    <definedName name="______________________________lbc17" hidden="1">#REF!</definedName>
    <definedName name="______________________________lbc18" hidden="1">#REF!</definedName>
    <definedName name="______________________________lbc19" hidden="1">#REF!</definedName>
    <definedName name="______________________________lbc2" hidden="1">#REF!</definedName>
    <definedName name="______________________________lbc20" hidden="1">#REF!</definedName>
    <definedName name="______________________________lbc21" hidden="1">#REF!</definedName>
    <definedName name="______________________________lbc22" hidden="1">#REF!</definedName>
    <definedName name="______________________________lbc23" hidden="1">#REF!</definedName>
    <definedName name="______________________________lbc24" hidden="1">#REF!</definedName>
    <definedName name="______________________________lbc25" hidden="1">#REF!</definedName>
    <definedName name="______________________________lbc26" hidden="1">#REF!</definedName>
    <definedName name="______________________________lbc27" hidden="1">#REF!</definedName>
    <definedName name="______________________________lbc28" hidden="1">#REF!</definedName>
    <definedName name="______________________________lbc29" hidden="1">#REF!</definedName>
    <definedName name="______________________________lbc3" hidden="1">#REF!</definedName>
    <definedName name="______________________________lbc31" hidden="1">#REF!</definedName>
    <definedName name="______________________________lbc32" hidden="1">#REF!</definedName>
    <definedName name="______________________________lbc4" hidden="1">#REF!</definedName>
    <definedName name="______________________________lbc5" hidden="1">#REF!</definedName>
    <definedName name="______________________________lbc6" hidden="1">#REF!</definedName>
    <definedName name="______________________________lbc7" hidden="1">#REF!</definedName>
    <definedName name="______________________________lbc8" hidden="1">#REF!</definedName>
    <definedName name="______________________________lbc9" hidden="1">#REF!</definedName>
    <definedName name="______________________________ld26" hidden="1">#REF!</definedName>
    <definedName name="______________________________ld31" hidden="1">#REF!</definedName>
    <definedName name="______________________________le31" hidden="1">#REF!</definedName>
    <definedName name="______________________________lf31" hidden="1">#REF!</definedName>
    <definedName name="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x10" hidden="1">#REF!</definedName>
    <definedName name="______________________________x11" hidden="1">#REF!</definedName>
    <definedName name="______________________________x12" hidden="1">#REF!</definedName>
    <definedName name="______________________________x13" hidden="1">#REF!</definedName>
    <definedName name="______________________________x14" hidden="1">#REF!</definedName>
    <definedName name="______________________________x15" hidden="1">#REF!</definedName>
    <definedName name="______________________________x16" hidden="1">#REF!</definedName>
    <definedName name="______________________________x17" hidden="1">#REF!</definedName>
    <definedName name="______________________________x18" hidden="1">#REF!</definedName>
    <definedName name="______________________________x19" hidden="1">#REF!</definedName>
    <definedName name="______________________________x20" hidden="1">#REF!</definedName>
    <definedName name="______________________________x21" hidden="1">#REF!</definedName>
    <definedName name="______________________________x22" hidden="1">#REF!</definedName>
    <definedName name="______________________________x23" hidden="1">#REF!</definedName>
    <definedName name="______________________________x24" hidden="1">#REF!</definedName>
    <definedName name="______________________________x25" hidden="1">#REF!</definedName>
    <definedName name="______________________________x28" hidden="1">#REF!</definedName>
    <definedName name="______________________________x29" hidden="1">#REF!</definedName>
    <definedName name="______________________________x32" hidden="1">#REF!</definedName>
    <definedName name="______________________________x4" hidden="1">#REF!</definedName>
    <definedName name="______________________________x5" hidden="1">#REF!</definedName>
    <definedName name="______________________________x6" hidden="1">#REF!</definedName>
    <definedName name="______________________________x7" hidden="1">#REF!</definedName>
    <definedName name="______________________________x8" hidden="1">#REF!</definedName>
    <definedName name="______________________________x9" hidden="1">#REF!</definedName>
    <definedName name="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la29" hidden="1">#REF!</definedName>
    <definedName name="_____________________________la3" hidden="1">#REF!</definedName>
    <definedName name="_____________________________la31" hidden="1">#REF!</definedName>
    <definedName name="_____________________________la32" hidden="1">#REF!</definedName>
    <definedName name="_____________________________la4" hidden="1">#REF!</definedName>
    <definedName name="_____________________________la5" hidden="1">#REF!</definedName>
    <definedName name="_____________________________la6" hidden="1">#REF!</definedName>
    <definedName name="_____________________________la7" hidden="1">#REF!</definedName>
    <definedName name="_____________________________la8" hidden="1">#REF!</definedName>
    <definedName name="_____________________________la9" hidden="1">#REF!</definedName>
    <definedName name="_____________________________lb1" hidden="1">#REF!</definedName>
    <definedName name="_____________________________lb10" hidden="1">#REF!</definedName>
    <definedName name="_____________________________lb11" hidden="1">#REF!</definedName>
    <definedName name="_____________________________lb12" hidden="1">#REF!</definedName>
    <definedName name="_____________________________lb13" hidden="1">#REF!</definedName>
    <definedName name="_____________________________lb14" hidden="1">#REF!</definedName>
    <definedName name="_____________________________lb15" hidden="1">#REF!</definedName>
    <definedName name="_____________________________lb16" hidden="1">#REF!</definedName>
    <definedName name="_____________________________lb17" hidden="1">#REF!</definedName>
    <definedName name="_____________________________lb18" hidden="1">#REF!</definedName>
    <definedName name="_____________________________lb19" hidden="1">#REF!</definedName>
    <definedName name="_____________________________lb2" hidden="1">#REF!</definedName>
    <definedName name="_____________________________lb20" hidden="1">#REF!</definedName>
    <definedName name="_____________________________lb21" hidden="1">#REF!</definedName>
    <definedName name="_____________________________lb22" hidden="1">#REF!</definedName>
    <definedName name="_____________________________lb23" hidden="1">#REF!</definedName>
    <definedName name="_____________________________lb24" hidden="1">#REF!</definedName>
    <definedName name="_____________________________lb25" hidden="1">#REF!</definedName>
    <definedName name="_____________________________lb27" hidden="1">#REF!</definedName>
    <definedName name="_____________________________lb28" hidden="1">#REF!</definedName>
    <definedName name="_____________________________lb29" hidden="1">#REF!</definedName>
    <definedName name="_____________________________lb3" hidden="1">#REF!</definedName>
    <definedName name="_____________________________lb30" hidden="1">#REF!</definedName>
    <definedName name="_____________________________lb31" hidden="1">#REF!</definedName>
    <definedName name="_____________________________lb32" hidden="1">#REF!</definedName>
    <definedName name="_____________________________lb4" hidden="1">#REF!</definedName>
    <definedName name="_____________________________lb5" hidden="1">#REF!</definedName>
    <definedName name="_____________________________lb6" hidden="1">#REF!</definedName>
    <definedName name="_____________________________lb7" hidden="1">#REF!</definedName>
    <definedName name="_____________________________lb8" hidden="1">#REF!</definedName>
    <definedName name="_____________________________lb9" hidden="1">#REF!</definedName>
    <definedName name="_____________________________lbc1" hidden="1">#REF!</definedName>
    <definedName name="_____________________________lbc10" hidden="1">#REF!</definedName>
    <definedName name="_____________________________lbc11" hidden="1">#REF!</definedName>
    <definedName name="_____________________________lbc12" hidden="1">#REF!</definedName>
    <definedName name="_____________________________lbc13" hidden="1">#REF!</definedName>
    <definedName name="_____________________________lbc14" hidden="1">#REF!</definedName>
    <definedName name="_____________________________lbc15" hidden="1">#REF!</definedName>
    <definedName name="_____________________________lbc16" hidden="1">#REF!</definedName>
    <definedName name="_____________________________lbc17" hidden="1">#REF!</definedName>
    <definedName name="_____________________________lbc18" hidden="1">#REF!</definedName>
    <definedName name="_____________________________lbc19" hidden="1">#REF!</definedName>
    <definedName name="_____________________________lbc2" hidden="1">#REF!</definedName>
    <definedName name="_____________________________lbc20" hidden="1">#REF!</definedName>
    <definedName name="_____________________________lbc21" hidden="1">#REF!</definedName>
    <definedName name="_____________________________lbc22" hidden="1">#REF!</definedName>
    <definedName name="_____________________________lbc23" hidden="1">#REF!</definedName>
    <definedName name="_____________________________lbc24" hidden="1">#REF!</definedName>
    <definedName name="_____________________________lbc25" hidden="1">#REF!</definedName>
    <definedName name="_____________________________lbc26" hidden="1">#REF!</definedName>
    <definedName name="_____________________________lbc27" hidden="1">#REF!</definedName>
    <definedName name="_____________________________lbc28" hidden="1">#REF!</definedName>
    <definedName name="_____________________________lbc29" hidden="1">#REF!</definedName>
    <definedName name="_____________________________lbc3" hidden="1">#REF!</definedName>
    <definedName name="_____________________________lbc31" hidden="1">#REF!</definedName>
    <definedName name="_____________________________lbc32" hidden="1">#REF!</definedName>
    <definedName name="_____________________________lbc4" hidden="1">#REF!</definedName>
    <definedName name="_____________________________lbc5" hidden="1">#REF!</definedName>
    <definedName name="_____________________________lbc6" hidden="1">#REF!</definedName>
    <definedName name="_____________________________lbc7" hidden="1">#REF!</definedName>
    <definedName name="_____________________________lbc8" hidden="1">#REF!</definedName>
    <definedName name="_____________________________lbc9" hidden="1">#REF!</definedName>
    <definedName name="_____________________________ld26" hidden="1">#REF!</definedName>
    <definedName name="_____________________________ld31" hidden="1">#REF!</definedName>
    <definedName name="_____________________________le31" hidden="1">#REF!</definedName>
    <definedName name="_____________________________lf31" hidden="1">#REF!</definedName>
    <definedName name="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x10" hidden="1">#REF!</definedName>
    <definedName name="_____________________________x11" hidden="1">#REF!</definedName>
    <definedName name="_____________________________x12" hidden="1">#REF!</definedName>
    <definedName name="_____________________________x13" hidden="1">#REF!</definedName>
    <definedName name="_____________________________x14" hidden="1">#REF!</definedName>
    <definedName name="_____________________________x15" hidden="1">#REF!</definedName>
    <definedName name="_____________________________x16" hidden="1">#REF!</definedName>
    <definedName name="_____________________________x17" hidden="1">#REF!</definedName>
    <definedName name="_____________________________x18" hidden="1">#REF!</definedName>
    <definedName name="_____________________________x19" hidden="1">#REF!</definedName>
    <definedName name="_____________________________x20" hidden="1">#REF!</definedName>
    <definedName name="_____________________________x21" hidden="1">#REF!</definedName>
    <definedName name="_____________________________x22" hidden="1">#REF!</definedName>
    <definedName name="_____________________________x23" hidden="1">#REF!</definedName>
    <definedName name="_____________________________x24" hidden="1">#REF!</definedName>
    <definedName name="_____________________________x25" hidden="1">#REF!</definedName>
    <definedName name="_____________________________x28" hidden="1">#REF!</definedName>
    <definedName name="_____________________________x29" hidden="1">#REF!</definedName>
    <definedName name="_____________________________x32" hidden="1">#REF!</definedName>
    <definedName name="_____________________________x4" hidden="1">#REF!</definedName>
    <definedName name="_____________________________x5" hidden="1">#REF!</definedName>
    <definedName name="_____________________________x6" hidden="1">#REF!</definedName>
    <definedName name="_____________________________x7" hidden="1">#REF!</definedName>
    <definedName name="_____________________________x8" hidden="1">#REF!</definedName>
    <definedName name="_____________________________x9" hidden="1">#REF!</definedName>
    <definedName name="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la29" hidden="1">#REF!</definedName>
    <definedName name="____________________________la3" hidden="1">#REF!</definedName>
    <definedName name="____________________________la31" hidden="1">#REF!</definedName>
    <definedName name="____________________________la32" hidden="1">#REF!</definedName>
    <definedName name="____________________________la4" hidden="1">#REF!</definedName>
    <definedName name="____________________________la5" hidden="1">#REF!</definedName>
    <definedName name="____________________________la6" hidden="1">#REF!</definedName>
    <definedName name="____________________________la7" hidden="1">#REF!</definedName>
    <definedName name="____________________________la8" hidden="1">#REF!</definedName>
    <definedName name="____________________________la9" hidden="1">#REF!</definedName>
    <definedName name="____________________________lb1" hidden="1">#REF!</definedName>
    <definedName name="____________________________lb10" hidden="1">#REF!</definedName>
    <definedName name="____________________________lb11" hidden="1">#REF!</definedName>
    <definedName name="____________________________lb12" hidden="1">#REF!</definedName>
    <definedName name="____________________________lb13" hidden="1">#REF!</definedName>
    <definedName name="____________________________lb14" hidden="1">#REF!</definedName>
    <definedName name="____________________________lb15" hidden="1">#REF!</definedName>
    <definedName name="____________________________lb16" hidden="1">#REF!</definedName>
    <definedName name="____________________________lb17" hidden="1">#REF!</definedName>
    <definedName name="____________________________lb18" hidden="1">#REF!</definedName>
    <definedName name="____________________________lb19" hidden="1">#REF!</definedName>
    <definedName name="____________________________lb2" hidden="1">#REF!</definedName>
    <definedName name="____________________________lb20" hidden="1">#REF!</definedName>
    <definedName name="____________________________lb21" hidden="1">#REF!</definedName>
    <definedName name="____________________________lb22" hidden="1">#REF!</definedName>
    <definedName name="____________________________lb23" hidden="1">#REF!</definedName>
    <definedName name="____________________________lb24" hidden="1">#REF!</definedName>
    <definedName name="____________________________lb25" hidden="1">#REF!</definedName>
    <definedName name="____________________________lb27" hidden="1">#REF!</definedName>
    <definedName name="____________________________lb28" hidden="1">#REF!</definedName>
    <definedName name="____________________________lb29" hidden="1">#REF!</definedName>
    <definedName name="____________________________lb3" hidden="1">#REF!</definedName>
    <definedName name="____________________________lb30" hidden="1">#REF!</definedName>
    <definedName name="____________________________lb31" hidden="1">#REF!</definedName>
    <definedName name="____________________________lb32" hidden="1">#REF!</definedName>
    <definedName name="____________________________lb4" hidden="1">#REF!</definedName>
    <definedName name="____________________________lb5" hidden="1">#REF!</definedName>
    <definedName name="____________________________lb6" hidden="1">#REF!</definedName>
    <definedName name="____________________________lb7" hidden="1">#REF!</definedName>
    <definedName name="____________________________lb8" hidden="1">#REF!</definedName>
    <definedName name="____________________________lb9" hidden="1">#REF!</definedName>
    <definedName name="____________________________lbc1" hidden="1">#REF!</definedName>
    <definedName name="____________________________lbc10" hidden="1">#REF!</definedName>
    <definedName name="____________________________lbc11" hidden="1">#REF!</definedName>
    <definedName name="____________________________lbc12" hidden="1">#REF!</definedName>
    <definedName name="____________________________lbc13" hidden="1">#REF!</definedName>
    <definedName name="____________________________lbc14" hidden="1">#REF!</definedName>
    <definedName name="____________________________lbc15" hidden="1">#REF!</definedName>
    <definedName name="____________________________lbc16" hidden="1">#REF!</definedName>
    <definedName name="____________________________lbc17" hidden="1">#REF!</definedName>
    <definedName name="____________________________lbc18" hidden="1">#REF!</definedName>
    <definedName name="____________________________lbc19" hidden="1">#REF!</definedName>
    <definedName name="____________________________lbc2" hidden="1">#REF!</definedName>
    <definedName name="____________________________lbc20" hidden="1">#REF!</definedName>
    <definedName name="____________________________lbc21" hidden="1">#REF!</definedName>
    <definedName name="____________________________lbc22" hidden="1">#REF!</definedName>
    <definedName name="____________________________lbc23" hidden="1">#REF!</definedName>
    <definedName name="____________________________lbc24" hidden="1">#REF!</definedName>
    <definedName name="____________________________lbc25" hidden="1">#REF!</definedName>
    <definedName name="____________________________lbc26" hidden="1">#REF!</definedName>
    <definedName name="____________________________lbc27" hidden="1">#REF!</definedName>
    <definedName name="____________________________lbc28" hidden="1">#REF!</definedName>
    <definedName name="____________________________lbc29" hidden="1">#REF!</definedName>
    <definedName name="____________________________lbc3" hidden="1">#REF!</definedName>
    <definedName name="____________________________lbc31" hidden="1">#REF!</definedName>
    <definedName name="____________________________lbc32" hidden="1">#REF!</definedName>
    <definedName name="____________________________lbc4" hidden="1">#REF!</definedName>
    <definedName name="____________________________lbc5" hidden="1">#REF!</definedName>
    <definedName name="____________________________lbc6" hidden="1">#REF!</definedName>
    <definedName name="____________________________lbc7" hidden="1">#REF!</definedName>
    <definedName name="____________________________lbc8" hidden="1">#REF!</definedName>
    <definedName name="____________________________lbc9" hidden="1">#REF!</definedName>
    <definedName name="____________________________ld26" hidden="1">#REF!</definedName>
    <definedName name="____________________________ld31" hidden="1">#REF!</definedName>
    <definedName name="____________________________le31" hidden="1">#REF!</definedName>
    <definedName name="____________________________lf31" hidden="1">#REF!</definedName>
    <definedName name="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x10" hidden="1">#REF!</definedName>
    <definedName name="____________________________x11" hidden="1">#REF!</definedName>
    <definedName name="____________________________x12" hidden="1">#REF!</definedName>
    <definedName name="____________________________x13" hidden="1">#REF!</definedName>
    <definedName name="____________________________x14" hidden="1">#REF!</definedName>
    <definedName name="____________________________x15" hidden="1">#REF!</definedName>
    <definedName name="____________________________x16" hidden="1">#REF!</definedName>
    <definedName name="____________________________x17" hidden="1">#REF!</definedName>
    <definedName name="____________________________x18" hidden="1">#REF!</definedName>
    <definedName name="____________________________x19" hidden="1">#REF!</definedName>
    <definedName name="____________________________x20" hidden="1">#REF!</definedName>
    <definedName name="____________________________x21" hidden="1">#REF!</definedName>
    <definedName name="____________________________x22" hidden="1">#REF!</definedName>
    <definedName name="____________________________x23" hidden="1">#REF!</definedName>
    <definedName name="____________________________x24" hidden="1">#REF!</definedName>
    <definedName name="____________________________x25" hidden="1">#REF!</definedName>
    <definedName name="____________________________x28" hidden="1">#REF!</definedName>
    <definedName name="____________________________x29" hidden="1">#REF!</definedName>
    <definedName name="____________________________x32" hidden="1">#REF!</definedName>
    <definedName name="____________________________x4" hidden="1">#REF!</definedName>
    <definedName name="____________________________x5" hidden="1">#REF!</definedName>
    <definedName name="____________________________x6" hidden="1">#REF!</definedName>
    <definedName name="____________________________x7" hidden="1">#REF!</definedName>
    <definedName name="____________________________x8" hidden="1">#REF!</definedName>
    <definedName name="____________________________x9" hidden="1">#REF!</definedName>
    <definedName name="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la29" hidden="1">#REF!</definedName>
    <definedName name="___________________________la3" hidden="1">#REF!</definedName>
    <definedName name="___________________________la31" hidden="1">#REF!</definedName>
    <definedName name="___________________________la32" hidden="1">#REF!</definedName>
    <definedName name="___________________________la4" hidden="1">#REF!</definedName>
    <definedName name="___________________________la5" hidden="1">#REF!</definedName>
    <definedName name="___________________________la6" hidden="1">#REF!</definedName>
    <definedName name="___________________________la7" hidden="1">#REF!</definedName>
    <definedName name="___________________________la8" hidden="1">#REF!</definedName>
    <definedName name="___________________________la9" hidden="1">#REF!</definedName>
    <definedName name="___________________________lb1" hidden="1">#REF!</definedName>
    <definedName name="___________________________lb10" hidden="1">#REF!</definedName>
    <definedName name="___________________________lb11" hidden="1">#REF!</definedName>
    <definedName name="___________________________lb12" hidden="1">#REF!</definedName>
    <definedName name="___________________________lb13" hidden="1">#REF!</definedName>
    <definedName name="___________________________lb14" hidden="1">#REF!</definedName>
    <definedName name="___________________________lb15" hidden="1">#REF!</definedName>
    <definedName name="___________________________lb16" hidden="1">#REF!</definedName>
    <definedName name="___________________________lb17" hidden="1">#REF!</definedName>
    <definedName name="___________________________lb18" hidden="1">#REF!</definedName>
    <definedName name="___________________________lb19" hidden="1">#REF!</definedName>
    <definedName name="___________________________lb2" hidden="1">#REF!</definedName>
    <definedName name="___________________________lb20" hidden="1">#REF!</definedName>
    <definedName name="___________________________lb21" hidden="1">#REF!</definedName>
    <definedName name="___________________________lb22" hidden="1">#REF!</definedName>
    <definedName name="___________________________lb23" hidden="1">#REF!</definedName>
    <definedName name="___________________________lb24" hidden="1">#REF!</definedName>
    <definedName name="___________________________lb25" hidden="1">#REF!</definedName>
    <definedName name="___________________________lb27" hidden="1">#REF!</definedName>
    <definedName name="___________________________lb28" hidden="1">#REF!</definedName>
    <definedName name="___________________________lb29" hidden="1">#REF!</definedName>
    <definedName name="___________________________lb3" hidden="1">#REF!</definedName>
    <definedName name="___________________________lb30" hidden="1">#REF!</definedName>
    <definedName name="___________________________lb31" hidden="1">#REF!</definedName>
    <definedName name="___________________________lb32" hidden="1">#REF!</definedName>
    <definedName name="___________________________lb4" hidden="1">#REF!</definedName>
    <definedName name="___________________________lb5" hidden="1">#REF!</definedName>
    <definedName name="___________________________lb6" hidden="1">#REF!</definedName>
    <definedName name="___________________________lb7" hidden="1">#REF!</definedName>
    <definedName name="___________________________lb8" hidden="1">#REF!</definedName>
    <definedName name="___________________________lb9" hidden="1">#REF!</definedName>
    <definedName name="___________________________lbc1" hidden="1">#REF!</definedName>
    <definedName name="___________________________lbc10" hidden="1">#REF!</definedName>
    <definedName name="___________________________lbc11" hidden="1">#REF!</definedName>
    <definedName name="___________________________lbc12" hidden="1">#REF!</definedName>
    <definedName name="___________________________lbc13" hidden="1">#REF!</definedName>
    <definedName name="___________________________lbc14" hidden="1">#REF!</definedName>
    <definedName name="___________________________lbc15" hidden="1">#REF!</definedName>
    <definedName name="___________________________lbc16" hidden="1">#REF!</definedName>
    <definedName name="___________________________lbc17" hidden="1">#REF!</definedName>
    <definedName name="___________________________lbc18" hidden="1">#REF!</definedName>
    <definedName name="___________________________lbc19" hidden="1">#REF!</definedName>
    <definedName name="___________________________lbc2" hidden="1">#REF!</definedName>
    <definedName name="___________________________lbc20" hidden="1">#REF!</definedName>
    <definedName name="___________________________lbc21" hidden="1">#REF!</definedName>
    <definedName name="___________________________lbc22" hidden="1">#REF!</definedName>
    <definedName name="___________________________lbc23" hidden="1">#REF!</definedName>
    <definedName name="___________________________lbc24" hidden="1">#REF!</definedName>
    <definedName name="___________________________lbc25" hidden="1">#REF!</definedName>
    <definedName name="___________________________lbc26" hidden="1">#REF!</definedName>
    <definedName name="___________________________lbc27" hidden="1">#REF!</definedName>
    <definedName name="___________________________lbc28" hidden="1">#REF!</definedName>
    <definedName name="___________________________lbc29" hidden="1">#REF!</definedName>
    <definedName name="___________________________lbc3" hidden="1">#REF!</definedName>
    <definedName name="___________________________lbc31" hidden="1">#REF!</definedName>
    <definedName name="___________________________lbc32" hidden="1">#REF!</definedName>
    <definedName name="___________________________lbc4" hidden="1">#REF!</definedName>
    <definedName name="___________________________lbc5" hidden="1">#REF!</definedName>
    <definedName name="___________________________lbc6" hidden="1">#REF!</definedName>
    <definedName name="___________________________lbc7" hidden="1">#REF!</definedName>
    <definedName name="___________________________lbc8" hidden="1">#REF!</definedName>
    <definedName name="___________________________lbc9" hidden="1">#REF!</definedName>
    <definedName name="___________________________ld26" hidden="1">#REF!</definedName>
    <definedName name="___________________________ld31" hidden="1">#REF!</definedName>
    <definedName name="___________________________le31" hidden="1">#REF!</definedName>
    <definedName name="___________________________lf31" hidden="1">#REF!</definedName>
    <definedName name="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x10" hidden="1">#REF!</definedName>
    <definedName name="___________________________x11" hidden="1">#REF!</definedName>
    <definedName name="___________________________x12" hidden="1">#REF!</definedName>
    <definedName name="___________________________x13" hidden="1">#REF!</definedName>
    <definedName name="___________________________x14" hidden="1">#REF!</definedName>
    <definedName name="___________________________x15" hidden="1">#REF!</definedName>
    <definedName name="___________________________x16" hidden="1">#REF!</definedName>
    <definedName name="___________________________x17" hidden="1">#REF!</definedName>
    <definedName name="___________________________x18" hidden="1">#REF!</definedName>
    <definedName name="___________________________x19" hidden="1">#REF!</definedName>
    <definedName name="___________________________x20" hidden="1">#REF!</definedName>
    <definedName name="___________________________x21" hidden="1">#REF!</definedName>
    <definedName name="___________________________x22" hidden="1">#REF!</definedName>
    <definedName name="___________________________x23" hidden="1">#REF!</definedName>
    <definedName name="___________________________x24" hidden="1">#REF!</definedName>
    <definedName name="___________________________x25" hidden="1">#REF!</definedName>
    <definedName name="___________________________x28" hidden="1">#REF!</definedName>
    <definedName name="___________________________x29" hidden="1">#REF!</definedName>
    <definedName name="___________________________x32" hidden="1">#REF!</definedName>
    <definedName name="___________________________x4" hidden="1">#REF!</definedName>
    <definedName name="___________________________x5" hidden="1">#REF!</definedName>
    <definedName name="___________________________x6" hidden="1">#REF!</definedName>
    <definedName name="___________________________x7" hidden="1">#REF!</definedName>
    <definedName name="___________________________x8" hidden="1">#REF!</definedName>
    <definedName name="___________________________x9" hidden="1">#REF!</definedName>
    <definedName name="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la29" hidden="1">#REF!</definedName>
    <definedName name="__________________________la3" hidden="1">#REF!</definedName>
    <definedName name="__________________________la31" hidden="1">#REF!</definedName>
    <definedName name="__________________________la32" hidden="1">#REF!</definedName>
    <definedName name="__________________________la4" hidden="1">#REF!</definedName>
    <definedName name="__________________________la5" hidden="1">#REF!</definedName>
    <definedName name="__________________________la6" hidden="1">#REF!</definedName>
    <definedName name="__________________________la7" hidden="1">#REF!</definedName>
    <definedName name="__________________________la8" hidden="1">#REF!</definedName>
    <definedName name="__________________________la9" hidden="1">#REF!</definedName>
    <definedName name="__________________________lb1" hidden="1">#REF!</definedName>
    <definedName name="__________________________lb10" hidden="1">#REF!</definedName>
    <definedName name="__________________________lb11" hidden="1">#REF!</definedName>
    <definedName name="__________________________lb12" hidden="1">#REF!</definedName>
    <definedName name="__________________________lb13" hidden="1">#REF!</definedName>
    <definedName name="__________________________lb14" hidden="1">#REF!</definedName>
    <definedName name="__________________________lb15" hidden="1">#REF!</definedName>
    <definedName name="__________________________lb16" hidden="1">#REF!</definedName>
    <definedName name="__________________________lb17" hidden="1">#REF!</definedName>
    <definedName name="__________________________lb18" hidden="1">#REF!</definedName>
    <definedName name="__________________________lb19" hidden="1">#REF!</definedName>
    <definedName name="__________________________lb2" hidden="1">#REF!</definedName>
    <definedName name="__________________________lb20" hidden="1">#REF!</definedName>
    <definedName name="__________________________lb21" hidden="1">#REF!</definedName>
    <definedName name="__________________________lb22" hidden="1">#REF!</definedName>
    <definedName name="__________________________lb23" hidden="1">#REF!</definedName>
    <definedName name="__________________________lb24" hidden="1">#REF!</definedName>
    <definedName name="__________________________lb25" hidden="1">#REF!</definedName>
    <definedName name="__________________________lb27" hidden="1">#REF!</definedName>
    <definedName name="__________________________lb28" hidden="1">#REF!</definedName>
    <definedName name="__________________________lb29" hidden="1">#REF!</definedName>
    <definedName name="__________________________lb3" hidden="1">#REF!</definedName>
    <definedName name="__________________________lb30" hidden="1">#REF!</definedName>
    <definedName name="__________________________lb31" hidden="1">#REF!</definedName>
    <definedName name="__________________________lb32" hidden="1">#REF!</definedName>
    <definedName name="__________________________lb4" hidden="1">#REF!</definedName>
    <definedName name="__________________________lb5" hidden="1">#REF!</definedName>
    <definedName name="__________________________lb6" hidden="1">#REF!</definedName>
    <definedName name="__________________________lb7" hidden="1">#REF!</definedName>
    <definedName name="__________________________lb8" hidden="1">#REF!</definedName>
    <definedName name="__________________________lb9" hidden="1">#REF!</definedName>
    <definedName name="__________________________lbc1" hidden="1">#REF!</definedName>
    <definedName name="__________________________lbc10" hidden="1">#REF!</definedName>
    <definedName name="__________________________lbc11" hidden="1">#REF!</definedName>
    <definedName name="__________________________lbc12" hidden="1">#REF!</definedName>
    <definedName name="__________________________lbc13" hidden="1">#REF!</definedName>
    <definedName name="__________________________lbc14" hidden="1">#REF!</definedName>
    <definedName name="__________________________lbc15" hidden="1">#REF!</definedName>
    <definedName name="__________________________lbc16" hidden="1">#REF!</definedName>
    <definedName name="__________________________lbc17" hidden="1">#REF!</definedName>
    <definedName name="__________________________lbc18" hidden="1">#REF!</definedName>
    <definedName name="__________________________lbc19" hidden="1">#REF!</definedName>
    <definedName name="__________________________lbc2" hidden="1">#REF!</definedName>
    <definedName name="__________________________lbc20" hidden="1">#REF!</definedName>
    <definedName name="__________________________lbc21" hidden="1">#REF!</definedName>
    <definedName name="__________________________lbc22" hidden="1">#REF!</definedName>
    <definedName name="__________________________lbc23" hidden="1">#REF!</definedName>
    <definedName name="__________________________lbc24" hidden="1">#REF!</definedName>
    <definedName name="__________________________lbc25" hidden="1">#REF!</definedName>
    <definedName name="__________________________lbc26" hidden="1">#REF!</definedName>
    <definedName name="__________________________lbc27" hidden="1">#REF!</definedName>
    <definedName name="__________________________lbc28" hidden="1">#REF!</definedName>
    <definedName name="__________________________lbc29" hidden="1">#REF!</definedName>
    <definedName name="__________________________lbc3" hidden="1">#REF!</definedName>
    <definedName name="__________________________lbc31" hidden="1">#REF!</definedName>
    <definedName name="__________________________lbc32" hidden="1">#REF!</definedName>
    <definedName name="__________________________lbc4" hidden="1">#REF!</definedName>
    <definedName name="__________________________lbc5" hidden="1">#REF!</definedName>
    <definedName name="__________________________lbc6" hidden="1">#REF!</definedName>
    <definedName name="__________________________lbc7" hidden="1">#REF!</definedName>
    <definedName name="__________________________lbc8" hidden="1">#REF!</definedName>
    <definedName name="__________________________lbc9" hidden="1">#REF!</definedName>
    <definedName name="__________________________ld26" hidden="1">#REF!</definedName>
    <definedName name="__________________________ld31" hidden="1">#REF!</definedName>
    <definedName name="__________________________le31" hidden="1">#REF!</definedName>
    <definedName name="__________________________lf31" hidden="1">#REF!</definedName>
    <definedName name="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x10" hidden="1">#REF!</definedName>
    <definedName name="__________________________x11" hidden="1">#REF!</definedName>
    <definedName name="__________________________x12" hidden="1">#REF!</definedName>
    <definedName name="__________________________x13" hidden="1">#REF!</definedName>
    <definedName name="__________________________x14" hidden="1">#REF!</definedName>
    <definedName name="__________________________x15" hidden="1">#REF!</definedName>
    <definedName name="__________________________x16" hidden="1">#REF!</definedName>
    <definedName name="__________________________x17" hidden="1">#REF!</definedName>
    <definedName name="__________________________x18" hidden="1">#REF!</definedName>
    <definedName name="__________________________x19" hidden="1">#REF!</definedName>
    <definedName name="__________________________x20" hidden="1">#REF!</definedName>
    <definedName name="__________________________x21" hidden="1">#REF!</definedName>
    <definedName name="__________________________x22" hidden="1">#REF!</definedName>
    <definedName name="__________________________x23" hidden="1">#REF!</definedName>
    <definedName name="__________________________x24" hidden="1">#REF!</definedName>
    <definedName name="__________________________x25" hidden="1">#REF!</definedName>
    <definedName name="__________________________x28" hidden="1">#REF!</definedName>
    <definedName name="__________________________x29" hidden="1">#REF!</definedName>
    <definedName name="__________________________x32" hidden="1">#REF!</definedName>
    <definedName name="__________________________x4" hidden="1">#REF!</definedName>
    <definedName name="__________________________x5" hidden="1">#REF!</definedName>
    <definedName name="__________________________x6" hidden="1">#REF!</definedName>
    <definedName name="__________________________x7" hidden="1">#REF!</definedName>
    <definedName name="__________________________x8" hidden="1">#REF!</definedName>
    <definedName name="__________________________x9" hidden="1">#REF!</definedName>
    <definedName name="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la29" hidden="1">#REF!</definedName>
    <definedName name="_________________________la3" hidden="1">#REF!</definedName>
    <definedName name="_________________________la31" hidden="1">#REF!</definedName>
    <definedName name="_________________________la32" hidden="1">#REF!</definedName>
    <definedName name="_________________________la4" hidden="1">#REF!</definedName>
    <definedName name="_________________________la5" hidden="1">#REF!</definedName>
    <definedName name="_________________________la6" hidden="1">#REF!</definedName>
    <definedName name="_________________________la7" hidden="1">#REF!</definedName>
    <definedName name="_________________________la8" hidden="1">#REF!</definedName>
    <definedName name="_________________________la9" hidden="1">#REF!</definedName>
    <definedName name="_________________________lb1" hidden="1">#REF!</definedName>
    <definedName name="_________________________lb10" hidden="1">#REF!</definedName>
    <definedName name="_________________________lb11" hidden="1">#REF!</definedName>
    <definedName name="_________________________lb12" hidden="1">#REF!</definedName>
    <definedName name="_________________________lb13" hidden="1">#REF!</definedName>
    <definedName name="_________________________lb14" hidden="1">#REF!</definedName>
    <definedName name="_________________________lb15" hidden="1">#REF!</definedName>
    <definedName name="_________________________lb16" hidden="1">#REF!</definedName>
    <definedName name="_________________________lb17" hidden="1">#REF!</definedName>
    <definedName name="_________________________lb18" hidden="1">#REF!</definedName>
    <definedName name="_________________________lb19" hidden="1">#REF!</definedName>
    <definedName name="_________________________lb2" hidden="1">#REF!</definedName>
    <definedName name="_________________________lb20" hidden="1">#REF!</definedName>
    <definedName name="_________________________lb21" hidden="1">#REF!</definedName>
    <definedName name="_________________________lb22" hidden="1">#REF!</definedName>
    <definedName name="_________________________lb23" hidden="1">#REF!</definedName>
    <definedName name="_________________________lb24" hidden="1">#REF!</definedName>
    <definedName name="_________________________lb25" hidden="1">#REF!</definedName>
    <definedName name="_________________________lb27" hidden="1">#REF!</definedName>
    <definedName name="_________________________lb28" hidden="1">#REF!</definedName>
    <definedName name="_________________________lb29" hidden="1">#REF!</definedName>
    <definedName name="_________________________lb3" hidden="1">#REF!</definedName>
    <definedName name="_________________________lb30" hidden="1">#REF!</definedName>
    <definedName name="_________________________lb31" hidden="1">#REF!</definedName>
    <definedName name="_________________________lb32" hidden="1">#REF!</definedName>
    <definedName name="_________________________lb4" hidden="1">#REF!</definedName>
    <definedName name="_________________________lb5" hidden="1">#REF!</definedName>
    <definedName name="_________________________lb6" hidden="1">#REF!</definedName>
    <definedName name="_________________________lb7" hidden="1">#REF!</definedName>
    <definedName name="_________________________lb8" hidden="1">#REF!</definedName>
    <definedName name="_________________________lb9" hidden="1">#REF!</definedName>
    <definedName name="_________________________lbc1" hidden="1">#REF!</definedName>
    <definedName name="_________________________lbc10" hidden="1">#REF!</definedName>
    <definedName name="_________________________lbc11" hidden="1">#REF!</definedName>
    <definedName name="_________________________lbc12" hidden="1">#REF!</definedName>
    <definedName name="_________________________lbc13" hidden="1">#REF!</definedName>
    <definedName name="_________________________lbc14" hidden="1">#REF!</definedName>
    <definedName name="_________________________lbc15" hidden="1">#REF!</definedName>
    <definedName name="_________________________lbc16" hidden="1">#REF!</definedName>
    <definedName name="_________________________lbc17" hidden="1">#REF!</definedName>
    <definedName name="_________________________lbc18" hidden="1">#REF!</definedName>
    <definedName name="_________________________lbc19" hidden="1">#REF!</definedName>
    <definedName name="_________________________lbc2" hidden="1">#REF!</definedName>
    <definedName name="_________________________lbc20" hidden="1">#REF!</definedName>
    <definedName name="_________________________lbc21" hidden="1">#REF!</definedName>
    <definedName name="_________________________lbc22" hidden="1">#REF!</definedName>
    <definedName name="_________________________lbc23" hidden="1">#REF!</definedName>
    <definedName name="_________________________lbc24" hidden="1">#REF!</definedName>
    <definedName name="_________________________lbc25" hidden="1">#REF!</definedName>
    <definedName name="_________________________lbc26" hidden="1">#REF!</definedName>
    <definedName name="_________________________lbc27" hidden="1">#REF!</definedName>
    <definedName name="_________________________lbc28" hidden="1">#REF!</definedName>
    <definedName name="_________________________lbc29" hidden="1">#REF!</definedName>
    <definedName name="_________________________lbc3" hidden="1">#REF!</definedName>
    <definedName name="_________________________lbc31" hidden="1">#REF!</definedName>
    <definedName name="_________________________lbc32" hidden="1">#REF!</definedName>
    <definedName name="_________________________lbc4" hidden="1">#REF!</definedName>
    <definedName name="_________________________lbc5" hidden="1">#REF!</definedName>
    <definedName name="_________________________lbc6" hidden="1">#REF!</definedName>
    <definedName name="_________________________lbc7" hidden="1">#REF!</definedName>
    <definedName name="_________________________lbc8" hidden="1">#REF!</definedName>
    <definedName name="_________________________lbc9" hidden="1">#REF!</definedName>
    <definedName name="_________________________ld26" hidden="1">#REF!</definedName>
    <definedName name="_________________________ld31" hidden="1">#REF!</definedName>
    <definedName name="_________________________le31" hidden="1">#REF!</definedName>
    <definedName name="_________________________lf31" hidden="1">#REF!</definedName>
    <definedName name="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x10" hidden="1">#REF!</definedName>
    <definedName name="_________________________x11" hidden="1">#REF!</definedName>
    <definedName name="_________________________x12" hidden="1">#REF!</definedName>
    <definedName name="_________________________x13" hidden="1">#REF!</definedName>
    <definedName name="_________________________x14" hidden="1">#REF!</definedName>
    <definedName name="_________________________x15" hidden="1">#REF!</definedName>
    <definedName name="_________________________x16" hidden="1">#REF!</definedName>
    <definedName name="_________________________x17" hidden="1">#REF!</definedName>
    <definedName name="_________________________x18" hidden="1">#REF!</definedName>
    <definedName name="_________________________x19" hidden="1">#REF!</definedName>
    <definedName name="_________________________x20" hidden="1">#REF!</definedName>
    <definedName name="_________________________x21" hidden="1">#REF!</definedName>
    <definedName name="_________________________x22" hidden="1">#REF!</definedName>
    <definedName name="_________________________x23" hidden="1">#REF!</definedName>
    <definedName name="_________________________x24" hidden="1">#REF!</definedName>
    <definedName name="_________________________x25" hidden="1">#REF!</definedName>
    <definedName name="_________________________x28" hidden="1">#REF!</definedName>
    <definedName name="_________________________x29" hidden="1">#REF!</definedName>
    <definedName name="_________________________x32" hidden="1">#REF!</definedName>
    <definedName name="_________________________x4" hidden="1">#REF!</definedName>
    <definedName name="_________________________x5" hidden="1">#REF!</definedName>
    <definedName name="_________________________x6" hidden="1">#REF!</definedName>
    <definedName name="_________________________x7" hidden="1">#REF!</definedName>
    <definedName name="_________________________x8" hidden="1">#REF!</definedName>
    <definedName name="_________________________x9" hidden="1">#REF!</definedName>
    <definedName name="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la29" hidden="1">#REF!</definedName>
    <definedName name="________________________la3" hidden="1">#REF!</definedName>
    <definedName name="________________________la31" hidden="1">#REF!</definedName>
    <definedName name="________________________la32" hidden="1">#REF!</definedName>
    <definedName name="________________________la4" hidden="1">#REF!</definedName>
    <definedName name="________________________la5" hidden="1">#REF!</definedName>
    <definedName name="________________________la6" hidden="1">#REF!</definedName>
    <definedName name="________________________la7" hidden="1">#REF!</definedName>
    <definedName name="________________________la8" hidden="1">#REF!</definedName>
    <definedName name="________________________la9" hidden="1">#REF!</definedName>
    <definedName name="________________________lb1" hidden="1">#REF!</definedName>
    <definedName name="________________________lb10" hidden="1">#REF!</definedName>
    <definedName name="________________________lb11" hidden="1">#REF!</definedName>
    <definedName name="________________________lb12" hidden="1">#REF!</definedName>
    <definedName name="________________________lb13" hidden="1">#REF!</definedName>
    <definedName name="________________________lb14" hidden="1">#REF!</definedName>
    <definedName name="________________________lb15" hidden="1">#REF!</definedName>
    <definedName name="________________________lb16" hidden="1">#REF!</definedName>
    <definedName name="________________________lb17" hidden="1">#REF!</definedName>
    <definedName name="________________________lb18" hidden="1">#REF!</definedName>
    <definedName name="________________________lb19" hidden="1">#REF!</definedName>
    <definedName name="________________________lb2" hidden="1">#REF!</definedName>
    <definedName name="________________________lb20" hidden="1">#REF!</definedName>
    <definedName name="________________________lb21" hidden="1">#REF!</definedName>
    <definedName name="________________________lb22" hidden="1">#REF!</definedName>
    <definedName name="________________________lb23" hidden="1">#REF!</definedName>
    <definedName name="________________________lb24" hidden="1">#REF!</definedName>
    <definedName name="________________________lb25" hidden="1">#REF!</definedName>
    <definedName name="________________________lb27" hidden="1">#REF!</definedName>
    <definedName name="________________________lb28" hidden="1">#REF!</definedName>
    <definedName name="________________________lb29" hidden="1">#REF!</definedName>
    <definedName name="________________________lb3" hidden="1">#REF!</definedName>
    <definedName name="________________________lb30" hidden="1">#REF!</definedName>
    <definedName name="________________________lb31" hidden="1">#REF!</definedName>
    <definedName name="________________________lb32" hidden="1">#REF!</definedName>
    <definedName name="________________________lb4" hidden="1">#REF!</definedName>
    <definedName name="________________________lb5" hidden="1">#REF!</definedName>
    <definedName name="________________________lb6" hidden="1">#REF!</definedName>
    <definedName name="________________________lb7" hidden="1">#REF!</definedName>
    <definedName name="________________________lb8" hidden="1">#REF!</definedName>
    <definedName name="________________________lb9" hidden="1">#REF!</definedName>
    <definedName name="________________________lbc1" hidden="1">#REF!</definedName>
    <definedName name="________________________lbc10" hidden="1">#REF!</definedName>
    <definedName name="________________________lbc11" hidden="1">#REF!</definedName>
    <definedName name="________________________lbc12" hidden="1">#REF!</definedName>
    <definedName name="________________________lbc13" hidden="1">#REF!</definedName>
    <definedName name="________________________lbc14" hidden="1">#REF!</definedName>
    <definedName name="________________________lbc15" hidden="1">#REF!</definedName>
    <definedName name="________________________lbc16" hidden="1">#REF!</definedName>
    <definedName name="________________________lbc17" hidden="1">#REF!</definedName>
    <definedName name="________________________lbc18" hidden="1">#REF!</definedName>
    <definedName name="________________________lbc19" hidden="1">#REF!</definedName>
    <definedName name="________________________lbc2" hidden="1">#REF!</definedName>
    <definedName name="________________________lbc20" hidden="1">#REF!</definedName>
    <definedName name="________________________lbc21" hidden="1">#REF!</definedName>
    <definedName name="________________________lbc22" hidden="1">#REF!</definedName>
    <definedName name="________________________lbc23" hidden="1">#REF!</definedName>
    <definedName name="________________________lbc24" hidden="1">#REF!</definedName>
    <definedName name="________________________lbc25" hidden="1">#REF!</definedName>
    <definedName name="________________________lbc26" hidden="1">#REF!</definedName>
    <definedName name="________________________lbc27" hidden="1">#REF!</definedName>
    <definedName name="________________________lbc28" hidden="1">#REF!</definedName>
    <definedName name="________________________lbc29" hidden="1">#REF!</definedName>
    <definedName name="________________________lbc3" hidden="1">#REF!</definedName>
    <definedName name="________________________lbc31" hidden="1">#REF!</definedName>
    <definedName name="________________________lbc32" hidden="1">#REF!</definedName>
    <definedName name="________________________lbc4" hidden="1">#REF!</definedName>
    <definedName name="________________________lbc5" hidden="1">#REF!</definedName>
    <definedName name="________________________lbc6" hidden="1">#REF!</definedName>
    <definedName name="________________________lbc7" hidden="1">#REF!</definedName>
    <definedName name="________________________lbc8" hidden="1">#REF!</definedName>
    <definedName name="________________________lbc9" hidden="1">#REF!</definedName>
    <definedName name="________________________ld26" hidden="1">#REF!</definedName>
    <definedName name="________________________ld31" hidden="1">#REF!</definedName>
    <definedName name="________________________le31" hidden="1">#REF!</definedName>
    <definedName name="________________________lf31" hidden="1">#REF!</definedName>
    <definedName name="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x10" hidden="1">#REF!</definedName>
    <definedName name="________________________x11" hidden="1">#REF!</definedName>
    <definedName name="________________________x12" hidden="1">#REF!</definedName>
    <definedName name="________________________x13" hidden="1">#REF!</definedName>
    <definedName name="________________________x14" hidden="1">#REF!</definedName>
    <definedName name="________________________x15" hidden="1">#REF!</definedName>
    <definedName name="________________________x16" hidden="1">#REF!</definedName>
    <definedName name="________________________x17" hidden="1">#REF!</definedName>
    <definedName name="________________________x18" hidden="1">#REF!</definedName>
    <definedName name="________________________x19" hidden="1">#REF!</definedName>
    <definedName name="________________________x20" hidden="1">#REF!</definedName>
    <definedName name="________________________x21" hidden="1">#REF!</definedName>
    <definedName name="________________________x22" hidden="1">#REF!</definedName>
    <definedName name="________________________x23" hidden="1">#REF!</definedName>
    <definedName name="________________________x24" hidden="1">#REF!</definedName>
    <definedName name="________________________x25" hidden="1">#REF!</definedName>
    <definedName name="________________________x28" hidden="1">#REF!</definedName>
    <definedName name="________________________x29" hidden="1">#REF!</definedName>
    <definedName name="________________________x32" hidden="1">#REF!</definedName>
    <definedName name="________________________x4" hidden="1">#REF!</definedName>
    <definedName name="________________________x5" hidden="1">#REF!</definedName>
    <definedName name="________________________x6" hidden="1">#REF!</definedName>
    <definedName name="________________________x7" hidden="1">#REF!</definedName>
    <definedName name="________________________x8" hidden="1">#REF!</definedName>
    <definedName name="________________________x9" hidden="1">#REF!</definedName>
    <definedName name="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la29" hidden="1">#REF!</definedName>
    <definedName name="_______________________la3" hidden="1">#REF!</definedName>
    <definedName name="_______________________la31" hidden="1">#REF!</definedName>
    <definedName name="_______________________la32" hidden="1">#REF!</definedName>
    <definedName name="_______________________la4" hidden="1">#REF!</definedName>
    <definedName name="_______________________la5" hidden="1">#REF!</definedName>
    <definedName name="_______________________la6" hidden="1">#REF!</definedName>
    <definedName name="_______________________la7" hidden="1">#REF!</definedName>
    <definedName name="_______________________la8" hidden="1">#REF!</definedName>
    <definedName name="_______________________la9" hidden="1">#REF!</definedName>
    <definedName name="_______________________lb1" hidden="1">#REF!</definedName>
    <definedName name="_______________________lb10" hidden="1">#REF!</definedName>
    <definedName name="_______________________lb11" hidden="1">#REF!</definedName>
    <definedName name="_______________________lb12" hidden="1">#REF!</definedName>
    <definedName name="_______________________lb13" hidden="1">#REF!</definedName>
    <definedName name="_______________________lb14" hidden="1">#REF!</definedName>
    <definedName name="_______________________lb15" hidden="1">#REF!</definedName>
    <definedName name="_______________________lb16" hidden="1">#REF!</definedName>
    <definedName name="_______________________lb17" hidden="1">#REF!</definedName>
    <definedName name="_______________________lb18" hidden="1">#REF!</definedName>
    <definedName name="_______________________lb19" hidden="1">#REF!</definedName>
    <definedName name="_______________________lb2" hidden="1">#REF!</definedName>
    <definedName name="_______________________lb20" hidden="1">#REF!</definedName>
    <definedName name="_______________________lb21" hidden="1">#REF!</definedName>
    <definedName name="_______________________lb22" hidden="1">#REF!</definedName>
    <definedName name="_______________________lb23" hidden="1">#REF!</definedName>
    <definedName name="_______________________lb24" hidden="1">#REF!</definedName>
    <definedName name="_______________________lb25" hidden="1">#REF!</definedName>
    <definedName name="_______________________lb27" hidden="1">#REF!</definedName>
    <definedName name="_______________________lb28" hidden="1">#REF!</definedName>
    <definedName name="_______________________lb29" hidden="1">#REF!</definedName>
    <definedName name="_______________________lb3" hidden="1">#REF!</definedName>
    <definedName name="_______________________lb30" hidden="1">#REF!</definedName>
    <definedName name="_______________________lb31" hidden="1">#REF!</definedName>
    <definedName name="_______________________lb32" hidden="1">#REF!</definedName>
    <definedName name="_______________________lb4" hidden="1">#REF!</definedName>
    <definedName name="_______________________lb5" hidden="1">#REF!</definedName>
    <definedName name="_______________________lb6" hidden="1">#REF!</definedName>
    <definedName name="_______________________lb7" hidden="1">#REF!</definedName>
    <definedName name="_______________________lb8" hidden="1">#REF!</definedName>
    <definedName name="_______________________lb9" hidden="1">#REF!</definedName>
    <definedName name="_______________________lbc1" hidden="1">#REF!</definedName>
    <definedName name="_______________________lbc10" hidden="1">#REF!</definedName>
    <definedName name="_______________________lbc11" hidden="1">#REF!</definedName>
    <definedName name="_______________________lbc12" hidden="1">#REF!</definedName>
    <definedName name="_______________________lbc13" hidden="1">#REF!</definedName>
    <definedName name="_______________________lbc14" hidden="1">#REF!</definedName>
    <definedName name="_______________________lbc15" hidden="1">#REF!</definedName>
    <definedName name="_______________________lbc16" hidden="1">#REF!</definedName>
    <definedName name="_______________________lbc17" hidden="1">#REF!</definedName>
    <definedName name="_______________________lbc18" hidden="1">#REF!</definedName>
    <definedName name="_______________________lbc19" hidden="1">#REF!</definedName>
    <definedName name="_______________________lbc2" hidden="1">#REF!</definedName>
    <definedName name="_______________________lbc20" hidden="1">#REF!</definedName>
    <definedName name="_______________________lbc21" hidden="1">#REF!</definedName>
    <definedName name="_______________________lbc22" hidden="1">#REF!</definedName>
    <definedName name="_______________________lbc23" hidden="1">#REF!</definedName>
    <definedName name="_______________________lbc24" hidden="1">#REF!</definedName>
    <definedName name="_______________________lbc25" hidden="1">#REF!</definedName>
    <definedName name="_______________________lbc26" hidden="1">#REF!</definedName>
    <definedName name="_______________________lbc27" hidden="1">#REF!</definedName>
    <definedName name="_______________________lbc28" hidden="1">#REF!</definedName>
    <definedName name="_______________________lbc29" hidden="1">#REF!</definedName>
    <definedName name="_______________________lbc3" hidden="1">#REF!</definedName>
    <definedName name="_______________________lbc31" hidden="1">#REF!</definedName>
    <definedName name="_______________________lbc32" hidden="1">#REF!</definedName>
    <definedName name="_______________________lbc4" hidden="1">#REF!</definedName>
    <definedName name="_______________________lbc5" hidden="1">#REF!</definedName>
    <definedName name="_______________________lbc6" hidden="1">#REF!</definedName>
    <definedName name="_______________________lbc7" hidden="1">#REF!</definedName>
    <definedName name="_______________________lbc8" hidden="1">#REF!</definedName>
    <definedName name="_______________________lbc9" hidden="1">#REF!</definedName>
    <definedName name="_______________________ld26" hidden="1">#REF!</definedName>
    <definedName name="_______________________ld31" hidden="1">#REF!</definedName>
    <definedName name="_______________________le31" hidden="1">#REF!</definedName>
    <definedName name="_______________________lf31" hidden="1">#REF!</definedName>
    <definedName name="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x10" hidden="1">#REF!</definedName>
    <definedName name="_______________________x11" hidden="1">#REF!</definedName>
    <definedName name="_______________________x12" hidden="1">#REF!</definedName>
    <definedName name="_______________________x13" hidden="1">#REF!</definedName>
    <definedName name="_______________________x14" hidden="1">#REF!</definedName>
    <definedName name="_______________________x15" hidden="1">#REF!</definedName>
    <definedName name="_______________________x16" hidden="1">#REF!</definedName>
    <definedName name="_______________________x17" hidden="1">#REF!</definedName>
    <definedName name="_______________________x18" hidden="1">#REF!</definedName>
    <definedName name="_______________________x19" hidden="1">#REF!</definedName>
    <definedName name="_______________________x20" hidden="1">#REF!</definedName>
    <definedName name="_______________________x21" hidden="1">#REF!</definedName>
    <definedName name="_______________________x22" hidden="1">#REF!</definedName>
    <definedName name="_______________________x23" hidden="1">#REF!</definedName>
    <definedName name="_______________________x24" hidden="1">#REF!</definedName>
    <definedName name="_______________________x25" hidden="1">#REF!</definedName>
    <definedName name="_______________________x28" hidden="1">#REF!</definedName>
    <definedName name="_______________________x29" hidden="1">#REF!</definedName>
    <definedName name="_______________________x32" hidden="1">#REF!</definedName>
    <definedName name="_______________________x4" hidden="1">#REF!</definedName>
    <definedName name="_______________________x5" hidden="1">#REF!</definedName>
    <definedName name="_______________________x6" hidden="1">#REF!</definedName>
    <definedName name="_______________________x7" hidden="1">#REF!</definedName>
    <definedName name="_______________________x8" hidden="1">#REF!</definedName>
    <definedName name="_______________________x9" hidden="1">#REF!</definedName>
    <definedName name="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la29" hidden="1">#REF!</definedName>
    <definedName name="______________________la3" hidden="1">#REF!</definedName>
    <definedName name="______________________la31" hidden="1">#REF!</definedName>
    <definedName name="______________________la32" hidden="1">#REF!</definedName>
    <definedName name="______________________la4" hidden="1">#REF!</definedName>
    <definedName name="______________________la5" hidden="1">#REF!</definedName>
    <definedName name="______________________la6" hidden="1">#REF!</definedName>
    <definedName name="______________________la7" hidden="1">#REF!</definedName>
    <definedName name="______________________la8" hidden="1">#REF!</definedName>
    <definedName name="______________________la9" hidden="1">#REF!</definedName>
    <definedName name="______________________lb1" hidden="1">#REF!</definedName>
    <definedName name="______________________lb10" hidden="1">#REF!</definedName>
    <definedName name="______________________lb11" hidden="1">#REF!</definedName>
    <definedName name="______________________lb12" hidden="1">#REF!</definedName>
    <definedName name="______________________lb13" hidden="1">#REF!</definedName>
    <definedName name="______________________lb14" hidden="1">#REF!</definedName>
    <definedName name="______________________lb15" hidden="1">#REF!</definedName>
    <definedName name="______________________lb16" hidden="1">#REF!</definedName>
    <definedName name="______________________lb17" hidden="1">#REF!</definedName>
    <definedName name="______________________lb18" hidden="1">#REF!</definedName>
    <definedName name="______________________lb19" hidden="1">#REF!</definedName>
    <definedName name="______________________lb2" hidden="1">#REF!</definedName>
    <definedName name="______________________lb20" hidden="1">#REF!</definedName>
    <definedName name="______________________lb21" hidden="1">#REF!</definedName>
    <definedName name="______________________lb22" hidden="1">#REF!</definedName>
    <definedName name="______________________lb23" hidden="1">#REF!</definedName>
    <definedName name="______________________lb24" hidden="1">#REF!</definedName>
    <definedName name="______________________lb25" hidden="1">#REF!</definedName>
    <definedName name="______________________lb27" hidden="1">#REF!</definedName>
    <definedName name="______________________lb28" hidden="1">#REF!</definedName>
    <definedName name="______________________lb29" hidden="1">#REF!</definedName>
    <definedName name="______________________lb3" hidden="1">#REF!</definedName>
    <definedName name="______________________lb30" hidden="1">#REF!</definedName>
    <definedName name="______________________lb31" hidden="1">#REF!</definedName>
    <definedName name="______________________lb32" hidden="1">#REF!</definedName>
    <definedName name="______________________lb4" hidden="1">#REF!</definedName>
    <definedName name="______________________lb5" hidden="1">#REF!</definedName>
    <definedName name="______________________lb6" hidden="1">#REF!</definedName>
    <definedName name="______________________lb7" hidden="1">#REF!</definedName>
    <definedName name="______________________lb8" hidden="1">#REF!</definedName>
    <definedName name="______________________lb9" hidden="1">#REF!</definedName>
    <definedName name="______________________lbc1" hidden="1">#REF!</definedName>
    <definedName name="______________________lbc10" hidden="1">#REF!</definedName>
    <definedName name="______________________lbc11" hidden="1">#REF!</definedName>
    <definedName name="______________________lbc12" hidden="1">#REF!</definedName>
    <definedName name="______________________lbc13" hidden="1">#REF!</definedName>
    <definedName name="______________________lbc14" hidden="1">#REF!</definedName>
    <definedName name="______________________lbc15" hidden="1">#REF!</definedName>
    <definedName name="______________________lbc16" hidden="1">#REF!</definedName>
    <definedName name="______________________lbc17" hidden="1">#REF!</definedName>
    <definedName name="______________________lbc18" hidden="1">#REF!</definedName>
    <definedName name="______________________lbc19" hidden="1">#REF!</definedName>
    <definedName name="______________________lbc2" hidden="1">#REF!</definedName>
    <definedName name="______________________lbc20" hidden="1">#REF!</definedName>
    <definedName name="______________________lbc21" hidden="1">#REF!</definedName>
    <definedName name="______________________lbc22" hidden="1">#REF!</definedName>
    <definedName name="______________________lbc23" hidden="1">#REF!</definedName>
    <definedName name="______________________lbc24" hidden="1">#REF!</definedName>
    <definedName name="______________________lbc25" hidden="1">#REF!</definedName>
    <definedName name="______________________lbc26" hidden="1">#REF!</definedName>
    <definedName name="______________________lbc27" hidden="1">#REF!</definedName>
    <definedName name="______________________lbc28" hidden="1">#REF!</definedName>
    <definedName name="______________________lbc29" hidden="1">#REF!</definedName>
    <definedName name="______________________lbc3" hidden="1">#REF!</definedName>
    <definedName name="______________________lbc31" hidden="1">#REF!</definedName>
    <definedName name="______________________lbc32" hidden="1">#REF!</definedName>
    <definedName name="______________________lbc4" hidden="1">#REF!</definedName>
    <definedName name="______________________lbc5" hidden="1">#REF!</definedName>
    <definedName name="______________________lbc6" hidden="1">#REF!</definedName>
    <definedName name="______________________lbc7" hidden="1">#REF!</definedName>
    <definedName name="______________________lbc8" hidden="1">#REF!</definedName>
    <definedName name="______________________lbc9" hidden="1">#REF!</definedName>
    <definedName name="______________________ld26" hidden="1">#REF!</definedName>
    <definedName name="______________________ld31" hidden="1">#REF!</definedName>
    <definedName name="______________________le31" hidden="1">#REF!</definedName>
    <definedName name="______________________lf31" hidden="1">#REF!</definedName>
    <definedName name="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x10" hidden="1">#REF!</definedName>
    <definedName name="______________________x11" hidden="1">#REF!</definedName>
    <definedName name="______________________x12" hidden="1">#REF!</definedName>
    <definedName name="______________________x13" hidden="1">#REF!</definedName>
    <definedName name="______________________x14" hidden="1">#REF!</definedName>
    <definedName name="______________________x15" hidden="1">#REF!</definedName>
    <definedName name="______________________x16" hidden="1">#REF!</definedName>
    <definedName name="______________________x17" hidden="1">#REF!</definedName>
    <definedName name="______________________x18" hidden="1">#REF!</definedName>
    <definedName name="______________________x19" hidden="1">#REF!</definedName>
    <definedName name="______________________x20" hidden="1">#REF!</definedName>
    <definedName name="______________________x21" hidden="1">#REF!</definedName>
    <definedName name="______________________x22" hidden="1">#REF!</definedName>
    <definedName name="______________________x23" hidden="1">#REF!</definedName>
    <definedName name="______________________x24" hidden="1">#REF!</definedName>
    <definedName name="______________________x25" hidden="1">#REF!</definedName>
    <definedName name="______________________x28" hidden="1">#REF!</definedName>
    <definedName name="______________________x29" hidden="1">#REF!</definedName>
    <definedName name="______________________x32" hidden="1">#REF!</definedName>
    <definedName name="______________________x4" hidden="1">#REF!</definedName>
    <definedName name="______________________x5" hidden="1">#REF!</definedName>
    <definedName name="______________________x6" hidden="1">#REF!</definedName>
    <definedName name="______________________x7" hidden="1">#REF!</definedName>
    <definedName name="______________________x8" hidden="1">#REF!</definedName>
    <definedName name="______________________x9" hidden="1">#REF!</definedName>
    <definedName name="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la29" hidden="1">#REF!</definedName>
    <definedName name="_____________________la3" hidden="1">#REF!</definedName>
    <definedName name="_____________________la31" hidden="1">#REF!</definedName>
    <definedName name="_____________________la32" hidden="1">#REF!</definedName>
    <definedName name="_____________________la4" hidden="1">#REF!</definedName>
    <definedName name="_____________________la5" hidden="1">#REF!</definedName>
    <definedName name="_____________________la6" hidden="1">#REF!</definedName>
    <definedName name="_____________________la7" hidden="1">#REF!</definedName>
    <definedName name="_____________________la8" hidden="1">#REF!</definedName>
    <definedName name="_____________________la9" hidden="1">#REF!</definedName>
    <definedName name="_____________________lb1" hidden="1">#REF!</definedName>
    <definedName name="_____________________lb10" hidden="1">#REF!</definedName>
    <definedName name="_____________________lb11" hidden="1">#REF!</definedName>
    <definedName name="_____________________lb12" hidden="1">#REF!</definedName>
    <definedName name="_____________________lb13" hidden="1">#REF!</definedName>
    <definedName name="_____________________lb14" hidden="1">#REF!</definedName>
    <definedName name="_____________________lb15" hidden="1">#REF!</definedName>
    <definedName name="_____________________lb16" hidden="1">#REF!</definedName>
    <definedName name="_____________________lb17" hidden="1">#REF!</definedName>
    <definedName name="_____________________lb18" hidden="1">#REF!</definedName>
    <definedName name="_____________________lb19" hidden="1">#REF!</definedName>
    <definedName name="_____________________lb2" hidden="1">#REF!</definedName>
    <definedName name="_____________________lb20" hidden="1">#REF!</definedName>
    <definedName name="_____________________lb21" hidden="1">#REF!</definedName>
    <definedName name="_____________________lb22" hidden="1">#REF!</definedName>
    <definedName name="_____________________lb23" hidden="1">#REF!</definedName>
    <definedName name="_____________________lb24" hidden="1">#REF!</definedName>
    <definedName name="_____________________lb25" hidden="1">#REF!</definedName>
    <definedName name="_____________________lb27" hidden="1">#REF!</definedName>
    <definedName name="_____________________lb28" hidden="1">#REF!</definedName>
    <definedName name="_____________________lb29" hidden="1">#REF!</definedName>
    <definedName name="_____________________lb3" hidden="1">#REF!</definedName>
    <definedName name="_____________________lb30" hidden="1">#REF!</definedName>
    <definedName name="_____________________lb31" hidden="1">#REF!</definedName>
    <definedName name="_____________________lb32" hidden="1">#REF!</definedName>
    <definedName name="_____________________lb4" hidden="1">#REF!</definedName>
    <definedName name="_____________________lb5" hidden="1">#REF!</definedName>
    <definedName name="_____________________lb6" hidden="1">#REF!</definedName>
    <definedName name="_____________________lb7" hidden="1">#REF!</definedName>
    <definedName name="_____________________lb8" hidden="1">#REF!</definedName>
    <definedName name="_____________________lb9" hidden="1">#REF!</definedName>
    <definedName name="_____________________lbc1" hidden="1">#REF!</definedName>
    <definedName name="_____________________lbc10" hidden="1">#REF!</definedName>
    <definedName name="_____________________lbc11" hidden="1">#REF!</definedName>
    <definedName name="_____________________lbc12" hidden="1">#REF!</definedName>
    <definedName name="_____________________lbc13" hidden="1">#REF!</definedName>
    <definedName name="_____________________lbc14" hidden="1">#REF!</definedName>
    <definedName name="_____________________lbc15" hidden="1">#REF!</definedName>
    <definedName name="_____________________lbc16" hidden="1">#REF!</definedName>
    <definedName name="_____________________lbc17" hidden="1">#REF!</definedName>
    <definedName name="_____________________lbc18" hidden="1">#REF!</definedName>
    <definedName name="_____________________lbc19" hidden="1">#REF!</definedName>
    <definedName name="_____________________lbc2" hidden="1">#REF!</definedName>
    <definedName name="_____________________lbc20" hidden="1">#REF!</definedName>
    <definedName name="_____________________lbc21" hidden="1">#REF!</definedName>
    <definedName name="_____________________lbc22" hidden="1">#REF!</definedName>
    <definedName name="_____________________lbc23" hidden="1">#REF!</definedName>
    <definedName name="_____________________lbc24" hidden="1">#REF!</definedName>
    <definedName name="_____________________lbc25" hidden="1">#REF!</definedName>
    <definedName name="_____________________lbc26" hidden="1">#REF!</definedName>
    <definedName name="_____________________lbc27" hidden="1">#REF!</definedName>
    <definedName name="_____________________lbc28" hidden="1">#REF!</definedName>
    <definedName name="_____________________lbc29" hidden="1">#REF!</definedName>
    <definedName name="_____________________lbc3" hidden="1">#REF!</definedName>
    <definedName name="_____________________lbc31" hidden="1">#REF!</definedName>
    <definedName name="_____________________lbc32" hidden="1">#REF!</definedName>
    <definedName name="_____________________lbc4" hidden="1">#REF!</definedName>
    <definedName name="_____________________lbc5" hidden="1">#REF!</definedName>
    <definedName name="_____________________lbc6" hidden="1">#REF!</definedName>
    <definedName name="_____________________lbc7" hidden="1">#REF!</definedName>
    <definedName name="_____________________lbc8" hidden="1">#REF!</definedName>
    <definedName name="_____________________lbc9" hidden="1">#REF!</definedName>
    <definedName name="_____________________ld26" hidden="1">#REF!</definedName>
    <definedName name="_____________________ld31" hidden="1">#REF!</definedName>
    <definedName name="_____________________le31" hidden="1">#REF!</definedName>
    <definedName name="_____________________lf31" hidden="1">#REF!</definedName>
    <definedName name="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x10" hidden="1">#REF!</definedName>
    <definedName name="_____________________x11" hidden="1">#REF!</definedName>
    <definedName name="_____________________x12" hidden="1">#REF!</definedName>
    <definedName name="_____________________x13" hidden="1">#REF!</definedName>
    <definedName name="_____________________x14" hidden="1">#REF!</definedName>
    <definedName name="_____________________x15" hidden="1">#REF!</definedName>
    <definedName name="_____________________x16" hidden="1">#REF!</definedName>
    <definedName name="_____________________x17" hidden="1">#REF!</definedName>
    <definedName name="_____________________x18" hidden="1">#REF!</definedName>
    <definedName name="_____________________x19" hidden="1">#REF!</definedName>
    <definedName name="_____________________x20" hidden="1">#REF!</definedName>
    <definedName name="_____________________x21" hidden="1">#REF!</definedName>
    <definedName name="_____________________x22" hidden="1">#REF!</definedName>
    <definedName name="_____________________x23" hidden="1">#REF!</definedName>
    <definedName name="_____________________x24" hidden="1">#REF!</definedName>
    <definedName name="_____________________x25" hidden="1">#REF!</definedName>
    <definedName name="_____________________x28" hidden="1">#REF!</definedName>
    <definedName name="_____________________x29" hidden="1">#REF!</definedName>
    <definedName name="_____________________x32" hidden="1">#REF!</definedName>
    <definedName name="_____________________x4" hidden="1">#REF!</definedName>
    <definedName name="_____________________x5" hidden="1">#REF!</definedName>
    <definedName name="_____________________x6" hidden="1">#REF!</definedName>
    <definedName name="_____________________x7" hidden="1">#REF!</definedName>
    <definedName name="_____________________x8" hidden="1">#REF!</definedName>
    <definedName name="_____________________x9" hidden="1">#REF!</definedName>
    <definedName name="____________________la29" hidden="1">#REF!</definedName>
    <definedName name="____________________la3" hidden="1">#REF!</definedName>
    <definedName name="____________________la31" hidden="1">#REF!</definedName>
    <definedName name="____________________la32" hidden="1">#REF!</definedName>
    <definedName name="____________________la4" hidden="1">#REF!</definedName>
    <definedName name="____________________la5" hidden="1">#REF!</definedName>
    <definedName name="____________________la6" hidden="1">#REF!</definedName>
    <definedName name="____________________la7" hidden="1">#REF!</definedName>
    <definedName name="____________________la8" hidden="1">#REF!</definedName>
    <definedName name="____________________la9" hidden="1">#REF!</definedName>
    <definedName name="____________________lb1" hidden="1">#REF!</definedName>
    <definedName name="____________________lb10" hidden="1">#REF!</definedName>
    <definedName name="____________________lb11" hidden="1">#REF!</definedName>
    <definedName name="____________________lb12" hidden="1">#REF!</definedName>
    <definedName name="____________________lb13" hidden="1">#REF!</definedName>
    <definedName name="____________________lb14" hidden="1">#REF!</definedName>
    <definedName name="____________________lb15" hidden="1">#REF!</definedName>
    <definedName name="____________________lb16" hidden="1">#REF!</definedName>
    <definedName name="____________________lb17" hidden="1">#REF!</definedName>
    <definedName name="____________________lb18" hidden="1">#REF!</definedName>
    <definedName name="____________________lb19" hidden="1">#REF!</definedName>
    <definedName name="____________________lb2" hidden="1">#REF!</definedName>
    <definedName name="____________________lb20" hidden="1">#REF!</definedName>
    <definedName name="____________________lb21" hidden="1">#REF!</definedName>
    <definedName name="____________________lb22" hidden="1">#REF!</definedName>
    <definedName name="____________________lb23" hidden="1">#REF!</definedName>
    <definedName name="____________________lb24" hidden="1">#REF!</definedName>
    <definedName name="____________________lb25" hidden="1">#REF!</definedName>
    <definedName name="____________________lb27" hidden="1">#REF!</definedName>
    <definedName name="____________________lb28" hidden="1">#REF!</definedName>
    <definedName name="____________________lb29" hidden="1">#REF!</definedName>
    <definedName name="____________________lb3" hidden="1">#REF!</definedName>
    <definedName name="____________________lb30" hidden="1">#REF!</definedName>
    <definedName name="____________________lb31" hidden="1">#REF!</definedName>
    <definedName name="____________________lb32" hidden="1">#REF!</definedName>
    <definedName name="____________________lb4" hidden="1">#REF!</definedName>
    <definedName name="____________________lb5" hidden="1">#REF!</definedName>
    <definedName name="____________________lb6" hidden="1">#REF!</definedName>
    <definedName name="____________________lb7" hidden="1">#REF!</definedName>
    <definedName name="____________________lb8" hidden="1">#REF!</definedName>
    <definedName name="____________________lb9" hidden="1">#REF!</definedName>
    <definedName name="____________________lbc1" hidden="1">#REF!</definedName>
    <definedName name="____________________lbc10" hidden="1">#REF!</definedName>
    <definedName name="____________________lbc11" hidden="1">#REF!</definedName>
    <definedName name="____________________lbc12" hidden="1">#REF!</definedName>
    <definedName name="____________________lbc13" hidden="1">#REF!</definedName>
    <definedName name="____________________lbc14" hidden="1">#REF!</definedName>
    <definedName name="____________________lbc15" hidden="1">#REF!</definedName>
    <definedName name="____________________lbc16" hidden="1">#REF!</definedName>
    <definedName name="____________________lbc17" hidden="1">#REF!</definedName>
    <definedName name="____________________lbc18" hidden="1">#REF!</definedName>
    <definedName name="____________________lbc19" hidden="1">#REF!</definedName>
    <definedName name="____________________lbc2" hidden="1">#REF!</definedName>
    <definedName name="____________________lbc20" hidden="1">#REF!</definedName>
    <definedName name="____________________lbc21" hidden="1">#REF!</definedName>
    <definedName name="____________________lbc22" hidden="1">#REF!</definedName>
    <definedName name="____________________lbc23" hidden="1">#REF!</definedName>
    <definedName name="____________________lbc24" hidden="1">#REF!</definedName>
    <definedName name="____________________lbc25" hidden="1">#REF!</definedName>
    <definedName name="____________________lbc26" hidden="1">#REF!</definedName>
    <definedName name="____________________lbc27" hidden="1">#REF!</definedName>
    <definedName name="____________________lbc28" hidden="1">#REF!</definedName>
    <definedName name="____________________lbc29" hidden="1">#REF!</definedName>
    <definedName name="____________________lbc3" hidden="1">#REF!</definedName>
    <definedName name="____________________lbc31" hidden="1">#REF!</definedName>
    <definedName name="____________________lbc32" hidden="1">#REF!</definedName>
    <definedName name="____________________lbc4" hidden="1">#REF!</definedName>
    <definedName name="____________________lbc5" hidden="1">#REF!</definedName>
    <definedName name="____________________lbc6" hidden="1">#REF!</definedName>
    <definedName name="____________________lbc7" hidden="1">#REF!</definedName>
    <definedName name="____________________lbc8" hidden="1">#REF!</definedName>
    <definedName name="____________________lbc9" hidden="1">#REF!</definedName>
    <definedName name="____________________ld26" hidden="1">#REF!</definedName>
    <definedName name="____________________ld31" hidden="1">#REF!</definedName>
    <definedName name="____________________le31" hidden="1">#REF!</definedName>
    <definedName name="____________________lf31" hidden="1">#REF!</definedName>
    <definedName name="____________________x10" hidden="1">#REF!</definedName>
    <definedName name="____________________x11" hidden="1">#REF!</definedName>
    <definedName name="____________________x12" hidden="1">#REF!</definedName>
    <definedName name="____________________x13" hidden="1">#REF!</definedName>
    <definedName name="____________________x14" hidden="1">#REF!</definedName>
    <definedName name="____________________x15" hidden="1">#REF!</definedName>
    <definedName name="____________________x16" hidden="1">#REF!</definedName>
    <definedName name="____________________x17" hidden="1">#REF!</definedName>
    <definedName name="____________________x18" hidden="1">#REF!</definedName>
    <definedName name="____________________x19" hidden="1">#REF!</definedName>
    <definedName name="____________________x20" hidden="1">#REF!</definedName>
    <definedName name="____________________x21" hidden="1">#REF!</definedName>
    <definedName name="____________________x22" hidden="1">#REF!</definedName>
    <definedName name="____________________x23" hidden="1">#REF!</definedName>
    <definedName name="____________________x24" hidden="1">#REF!</definedName>
    <definedName name="____________________x25" hidden="1">#REF!</definedName>
    <definedName name="____________________x28" hidden="1">#REF!</definedName>
    <definedName name="____________________x29" hidden="1">#REF!</definedName>
    <definedName name="____________________x32" hidden="1">#REF!</definedName>
    <definedName name="____________________x4" hidden="1">#REF!</definedName>
    <definedName name="____________________x5" hidden="1">#REF!</definedName>
    <definedName name="____________________x6" hidden="1">#REF!</definedName>
    <definedName name="____________________x7" hidden="1">#REF!</definedName>
    <definedName name="____________________x8" hidden="1">#REF!</definedName>
    <definedName name="____________________x9" hidden="1">#REF!</definedName>
    <definedName name="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la29" hidden="1">#REF!</definedName>
    <definedName name="___________________la3" hidden="1">#REF!</definedName>
    <definedName name="___________________la31" hidden="1">#REF!</definedName>
    <definedName name="___________________la32" hidden="1">#REF!</definedName>
    <definedName name="___________________la4" hidden="1">#REF!</definedName>
    <definedName name="___________________la5" hidden="1">#REF!</definedName>
    <definedName name="___________________la6" hidden="1">#REF!</definedName>
    <definedName name="___________________la7" hidden="1">#REF!</definedName>
    <definedName name="___________________la8" hidden="1">#REF!</definedName>
    <definedName name="___________________la9" hidden="1">#REF!</definedName>
    <definedName name="___________________lb1" hidden="1">#REF!</definedName>
    <definedName name="___________________lb10" hidden="1">#REF!</definedName>
    <definedName name="___________________lb11" hidden="1">#REF!</definedName>
    <definedName name="___________________lb12" hidden="1">#REF!</definedName>
    <definedName name="___________________lb13" hidden="1">#REF!</definedName>
    <definedName name="___________________lb14" hidden="1">#REF!</definedName>
    <definedName name="___________________lb15" hidden="1">#REF!</definedName>
    <definedName name="___________________lb16" hidden="1">#REF!</definedName>
    <definedName name="___________________lb17" hidden="1">#REF!</definedName>
    <definedName name="___________________lb18" hidden="1">#REF!</definedName>
    <definedName name="___________________lb19" hidden="1">#REF!</definedName>
    <definedName name="___________________lb2" hidden="1">#REF!</definedName>
    <definedName name="___________________lb20" hidden="1">#REF!</definedName>
    <definedName name="___________________lb21" hidden="1">#REF!</definedName>
    <definedName name="___________________lb22" hidden="1">#REF!</definedName>
    <definedName name="___________________lb23" hidden="1">#REF!</definedName>
    <definedName name="___________________lb24" hidden="1">#REF!</definedName>
    <definedName name="___________________lb25" hidden="1">#REF!</definedName>
    <definedName name="___________________lb27" hidden="1">#REF!</definedName>
    <definedName name="___________________lb28" hidden="1">#REF!</definedName>
    <definedName name="___________________lb29" hidden="1">#REF!</definedName>
    <definedName name="___________________lb3" hidden="1">#REF!</definedName>
    <definedName name="___________________lb30" hidden="1">#REF!</definedName>
    <definedName name="___________________lb31" hidden="1">#REF!</definedName>
    <definedName name="___________________lb32" hidden="1">#REF!</definedName>
    <definedName name="___________________lb4" hidden="1">#REF!</definedName>
    <definedName name="___________________lb5" hidden="1">#REF!</definedName>
    <definedName name="___________________lb6" hidden="1">#REF!</definedName>
    <definedName name="___________________lb7" hidden="1">#REF!</definedName>
    <definedName name="___________________lb8" hidden="1">#REF!</definedName>
    <definedName name="___________________lb9" hidden="1">#REF!</definedName>
    <definedName name="___________________lbc1" hidden="1">#REF!</definedName>
    <definedName name="___________________lbc10" hidden="1">#REF!</definedName>
    <definedName name="___________________lbc11" hidden="1">#REF!</definedName>
    <definedName name="___________________lbc12" hidden="1">#REF!</definedName>
    <definedName name="___________________lbc13" hidden="1">#REF!</definedName>
    <definedName name="___________________lbc14" hidden="1">#REF!</definedName>
    <definedName name="___________________lbc15" hidden="1">#REF!</definedName>
    <definedName name="___________________lbc16" hidden="1">#REF!</definedName>
    <definedName name="___________________lbc17" hidden="1">#REF!</definedName>
    <definedName name="___________________lbc18" hidden="1">#REF!</definedName>
    <definedName name="___________________lbc19" hidden="1">#REF!</definedName>
    <definedName name="___________________lbc2" hidden="1">#REF!</definedName>
    <definedName name="___________________lbc20" hidden="1">#REF!</definedName>
    <definedName name="___________________lbc21" hidden="1">#REF!</definedName>
    <definedName name="___________________lbc22" hidden="1">#REF!</definedName>
    <definedName name="___________________lbc23" hidden="1">#REF!</definedName>
    <definedName name="___________________lbc24" hidden="1">#REF!</definedName>
    <definedName name="___________________lbc25" hidden="1">#REF!</definedName>
    <definedName name="___________________lbc26" hidden="1">#REF!</definedName>
    <definedName name="___________________lbc27" hidden="1">#REF!</definedName>
    <definedName name="___________________lbc28" hidden="1">#REF!</definedName>
    <definedName name="___________________lbc29" hidden="1">#REF!</definedName>
    <definedName name="___________________lbc3" hidden="1">#REF!</definedName>
    <definedName name="___________________lbc31" hidden="1">#REF!</definedName>
    <definedName name="___________________lbc32" hidden="1">#REF!</definedName>
    <definedName name="___________________lbc4" hidden="1">#REF!</definedName>
    <definedName name="___________________lbc5" hidden="1">#REF!</definedName>
    <definedName name="___________________lbc6" hidden="1">#REF!</definedName>
    <definedName name="___________________lbc7" hidden="1">#REF!</definedName>
    <definedName name="___________________lbc8" hidden="1">#REF!</definedName>
    <definedName name="___________________lbc9" hidden="1">#REF!</definedName>
    <definedName name="___________________ld26" hidden="1">#REF!</definedName>
    <definedName name="___________________ld31" hidden="1">#REF!</definedName>
    <definedName name="___________________le31" hidden="1">#REF!</definedName>
    <definedName name="___________________lf31" hidden="1">#REF!</definedName>
    <definedName name="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x10" hidden="1">#REF!</definedName>
    <definedName name="___________________x11" hidden="1">#REF!</definedName>
    <definedName name="___________________x12" hidden="1">#REF!</definedName>
    <definedName name="___________________x13" hidden="1">#REF!</definedName>
    <definedName name="___________________x14" hidden="1">#REF!</definedName>
    <definedName name="___________________x15" hidden="1">#REF!</definedName>
    <definedName name="___________________x16" hidden="1">#REF!</definedName>
    <definedName name="___________________x17" hidden="1">#REF!</definedName>
    <definedName name="___________________x18" hidden="1">#REF!</definedName>
    <definedName name="___________________x19" hidden="1">#REF!</definedName>
    <definedName name="___________________x20" hidden="1">#REF!</definedName>
    <definedName name="___________________x21" hidden="1">#REF!</definedName>
    <definedName name="___________________x22" hidden="1">#REF!</definedName>
    <definedName name="___________________x23" hidden="1">#REF!</definedName>
    <definedName name="___________________x24" hidden="1">#REF!</definedName>
    <definedName name="___________________x25" hidden="1">#REF!</definedName>
    <definedName name="___________________x28" hidden="1">#REF!</definedName>
    <definedName name="___________________x29" hidden="1">#REF!</definedName>
    <definedName name="___________________x32" hidden="1">#REF!</definedName>
    <definedName name="___________________x4" hidden="1">#REF!</definedName>
    <definedName name="___________________x5" hidden="1">#REF!</definedName>
    <definedName name="___________________x6" hidden="1">#REF!</definedName>
    <definedName name="___________________x7" hidden="1">#REF!</definedName>
    <definedName name="___________________x8" hidden="1">#REF!</definedName>
    <definedName name="___________________x9" hidden="1">#REF!</definedName>
    <definedName name="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la29" hidden="1">#REF!</definedName>
    <definedName name="__________________la3" hidden="1">#REF!</definedName>
    <definedName name="__________________la31" hidden="1">#REF!</definedName>
    <definedName name="__________________la32" hidden="1">#REF!</definedName>
    <definedName name="__________________la4" hidden="1">#REF!</definedName>
    <definedName name="__________________la5" hidden="1">#REF!</definedName>
    <definedName name="__________________la6" hidden="1">#REF!</definedName>
    <definedName name="__________________la7" hidden="1">#REF!</definedName>
    <definedName name="__________________la8" hidden="1">#REF!</definedName>
    <definedName name="__________________la9" hidden="1">#REF!</definedName>
    <definedName name="__________________lb1" hidden="1">#REF!</definedName>
    <definedName name="__________________lb10" hidden="1">#REF!</definedName>
    <definedName name="__________________lb11" hidden="1">#REF!</definedName>
    <definedName name="__________________lb12" hidden="1">#REF!</definedName>
    <definedName name="__________________lb13" hidden="1">#REF!</definedName>
    <definedName name="__________________lb14" hidden="1">#REF!</definedName>
    <definedName name="__________________lb15" hidden="1">#REF!</definedName>
    <definedName name="__________________lb16" hidden="1">#REF!</definedName>
    <definedName name="__________________lb17" hidden="1">#REF!</definedName>
    <definedName name="__________________lb18" hidden="1">#REF!</definedName>
    <definedName name="__________________lb19" hidden="1">#REF!</definedName>
    <definedName name="__________________lb2" hidden="1">#REF!</definedName>
    <definedName name="__________________lb20" hidden="1">#REF!</definedName>
    <definedName name="__________________lb21" hidden="1">#REF!</definedName>
    <definedName name="__________________lb22" hidden="1">#REF!</definedName>
    <definedName name="__________________lb23" hidden="1">#REF!</definedName>
    <definedName name="__________________lb24" hidden="1">#REF!</definedName>
    <definedName name="__________________lb25" hidden="1">#REF!</definedName>
    <definedName name="__________________lb27" hidden="1">#REF!</definedName>
    <definedName name="__________________lb28" hidden="1">#REF!</definedName>
    <definedName name="__________________lb29" hidden="1">#REF!</definedName>
    <definedName name="__________________lb3" hidden="1">#REF!</definedName>
    <definedName name="__________________lb30" hidden="1">#REF!</definedName>
    <definedName name="__________________lb31" hidden="1">#REF!</definedName>
    <definedName name="__________________lb32" hidden="1">#REF!</definedName>
    <definedName name="__________________lb4" hidden="1">#REF!</definedName>
    <definedName name="__________________lb5" hidden="1">#REF!</definedName>
    <definedName name="__________________lb6" hidden="1">#REF!</definedName>
    <definedName name="__________________lb7" hidden="1">#REF!</definedName>
    <definedName name="__________________lb8" hidden="1">#REF!</definedName>
    <definedName name="__________________lb9" hidden="1">#REF!</definedName>
    <definedName name="__________________lbc1" hidden="1">#REF!</definedName>
    <definedName name="__________________lbc10" hidden="1">#REF!</definedName>
    <definedName name="__________________lbc11" hidden="1">#REF!</definedName>
    <definedName name="__________________lbc12" hidden="1">#REF!</definedName>
    <definedName name="__________________lbc13" hidden="1">#REF!</definedName>
    <definedName name="__________________lbc14" hidden="1">#REF!</definedName>
    <definedName name="__________________lbc15" hidden="1">#REF!</definedName>
    <definedName name="__________________lbc16" hidden="1">#REF!</definedName>
    <definedName name="__________________lbc17" hidden="1">#REF!</definedName>
    <definedName name="__________________lbc18" hidden="1">#REF!</definedName>
    <definedName name="__________________lbc19" hidden="1">#REF!</definedName>
    <definedName name="__________________lbc2" hidden="1">#REF!</definedName>
    <definedName name="__________________lbc20" hidden="1">#REF!</definedName>
    <definedName name="__________________lbc21" hidden="1">#REF!</definedName>
    <definedName name="__________________lbc22" hidden="1">#REF!</definedName>
    <definedName name="__________________lbc23" hidden="1">#REF!</definedName>
    <definedName name="__________________lbc24" hidden="1">#REF!</definedName>
    <definedName name="__________________lbc25" hidden="1">#REF!</definedName>
    <definedName name="__________________lbc26" hidden="1">#REF!</definedName>
    <definedName name="__________________lbc27" hidden="1">#REF!</definedName>
    <definedName name="__________________lbc28" hidden="1">#REF!</definedName>
    <definedName name="__________________lbc29" hidden="1">#REF!</definedName>
    <definedName name="__________________lbc3" hidden="1">#REF!</definedName>
    <definedName name="__________________lbc31" hidden="1">#REF!</definedName>
    <definedName name="__________________lbc32" hidden="1">#REF!</definedName>
    <definedName name="__________________lbc4" hidden="1">#REF!</definedName>
    <definedName name="__________________lbc5" hidden="1">#REF!</definedName>
    <definedName name="__________________lbc6" hidden="1">#REF!</definedName>
    <definedName name="__________________lbc7" hidden="1">#REF!</definedName>
    <definedName name="__________________lbc8" hidden="1">#REF!</definedName>
    <definedName name="__________________lbc9" hidden="1">#REF!</definedName>
    <definedName name="__________________ld26" hidden="1">#REF!</definedName>
    <definedName name="__________________ld31" hidden="1">#REF!</definedName>
    <definedName name="__________________le31" hidden="1">#REF!</definedName>
    <definedName name="__________________lf31" hidden="1">#REF!</definedName>
    <definedName name="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x10" hidden="1">#REF!</definedName>
    <definedName name="__________________x11" hidden="1">#REF!</definedName>
    <definedName name="__________________x12" hidden="1">#REF!</definedName>
    <definedName name="__________________x13" hidden="1">#REF!</definedName>
    <definedName name="__________________x14" hidden="1">#REF!</definedName>
    <definedName name="__________________x15" hidden="1">#REF!</definedName>
    <definedName name="__________________x16" hidden="1">#REF!</definedName>
    <definedName name="__________________x17" hidden="1">#REF!</definedName>
    <definedName name="__________________x18" hidden="1">#REF!</definedName>
    <definedName name="__________________x19" hidden="1">#REF!</definedName>
    <definedName name="__________________x20" hidden="1">#REF!</definedName>
    <definedName name="__________________x21" hidden="1">#REF!</definedName>
    <definedName name="__________________x22" hidden="1">#REF!</definedName>
    <definedName name="__________________x23" hidden="1">#REF!</definedName>
    <definedName name="__________________x24" hidden="1">#REF!</definedName>
    <definedName name="__________________x25" hidden="1">#REF!</definedName>
    <definedName name="__________________x28" hidden="1">#REF!</definedName>
    <definedName name="__________________x29" hidden="1">#REF!</definedName>
    <definedName name="__________________x32" hidden="1">#REF!</definedName>
    <definedName name="__________________x4" hidden="1">#REF!</definedName>
    <definedName name="__________________x5" hidden="1">#REF!</definedName>
    <definedName name="__________________x6" hidden="1">#REF!</definedName>
    <definedName name="__________________x7" hidden="1">#REF!</definedName>
    <definedName name="__________________x8" hidden="1">#REF!</definedName>
    <definedName name="__________________x9" hidden="1">#REF!</definedName>
    <definedName name="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la29" hidden="1">#REF!</definedName>
    <definedName name="_________________la3" hidden="1">#REF!</definedName>
    <definedName name="_________________la31" hidden="1">#REF!</definedName>
    <definedName name="_________________la32" hidden="1">#REF!</definedName>
    <definedName name="_________________la4" hidden="1">#REF!</definedName>
    <definedName name="_________________la5" hidden="1">#REF!</definedName>
    <definedName name="_________________la6" hidden="1">#REF!</definedName>
    <definedName name="_________________la7" hidden="1">#REF!</definedName>
    <definedName name="_________________la8" hidden="1">#REF!</definedName>
    <definedName name="_________________la9" hidden="1">#REF!</definedName>
    <definedName name="_________________lb1" hidden="1">#REF!</definedName>
    <definedName name="_________________lb10" hidden="1">#REF!</definedName>
    <definedName name="_________________lb11" hidden="1">#REF!</definedName>
    <definedName name="_________________lb12" hidden="1">#REF!</definedName>
    <definedName name="_________________lb13" hidden="1">#REF!</definedName>
    <definedName name="_________________lb14" hidden="1">#REF!</definedName>
    <definedName name="_________________lb15" hidden="1">#REF!</definedName>
    <definedName name="_________________lb16" hidden="1">#REF!</definedName>
    <definedName name="_________________lb17" hidden="1">#REF!</definedName>
    <definedName name="_________________lb18" hidden="1">#REF!</definedName>
    <definedName name="_________________lb19" hidden="1">#REF!</definedName>
    <definedName name="_________________lb2" hidden="1">#REF!</definedName>
    <definedName name="_________________lb20" hidden="1">#REF!</definedName>
    <definedName name="_________________lb21" hidden="1">#REF!</definedName>
    <definedName name="_________________lb22" hidden="1">#REF!</definedName>
    <definedName name="_________________lb23" hidden="1">#REF!</definedName>
    <definedName name="_________________lb24" hidden="1">#REF!</definedName>
    <definedName name="_________________lb25" hidden="1">#REF!</definedName>
    <definedName name="_________________lb27" hidden="1">#REF!</definedName>
    <definedName name="_________________lb28" hidden="1">#REF!</definedName>
    <definedName name="_________________lb29" hidden="1">#REF!</definedName>
    <definedName name="_________________lb3" hidden="1">#REF!</definedName>
    <definedName name="_________________lb30" hidden="1">#REF!</definedName>
    <definedName name="_________________lb31" hidden="1">#REF!</definedName>
    <definedName name="_________________lb32" hidden="1">#REF!</definedName>
    <definedName name="_________________lb4" hidden="1">#REF!</definedName>
    <definedName name="_________________lb5" hidden="1">#REF!</definedName>
    <definedName name="_________________lb6" hidden="1">#REF!</definedName>
    <definedName name="_________________lb7" hidden="1">#REF!</definedName>
    <definedName name="_________________lb8" hidden="1">#REF!</definedName>
    <definedName name="_________________lb9" hidden="1">#REF!</definedName>
    <definedName name="_________________lbc1" hidden="1">#REF!</definedName>
    <definedName name="_________________lbc10" hidden="1">#REF!</definedName>
    <definedName name="_________________lbc11" hidden="1">#REF!</definedName>
    <definedName name="_________________lbc12" hidden="1">#REF!</definedName>
    <definedName name="_________________lbc13" hidden="1">#REF!</definedName>
    <definedName name="_________________lbc14" hidden="1">#REF!</definedName>
    <definedName name="_________________lbc15" hidden="1">#REF!</definedName>
    <definedName name="_________________lbc16" hidden="1">#REF!</definedName>
    <definedName name="_________________lbc17" hidden="1">#REF!</definedName>
    <definedName name="_________________lbc18" hidden="1">#REF!</definedName>
    <definedName name="_________________lbc19" hidden="1">#REF!</definedName>
    <definedName name="_________________lbc2" hidden="1">#REF!</definedName>
    <definedName name="_________________lbc20" hidden="1">#REF!</definedName>
    <definedName name="_________________lbc21" hidden="1">#REF!</definedName>
    <definedName name="_________________lbc22" hidden="1">#REF!</definedName>
    <definedName name="_________________lbc23" hidden="1">#REF!</definedName>
    <definedName name="_________________lbc24" hidden="1">#REF!</definedName>
    <definedName name="_________________lbc25" hidden="1">#REF!</definedName>
    <definedName name="_________________lbc26" hidden="1">#REF!</definedName>
    <definedName name="_________________lbc27" hidden="1">#REF!</definedName>
    <definedName name="_________________lbc28" hidden="1">#REF!</definedName>
    <definedName name="_________________lbc29" hidden="1">#REF!</definedName>
    <definedName name="_________________lbc3" hidden="1">#REF!</definedName>
    <definedName name="_________________lbc31" hidden="1">#REF!</definedName>
    <definedName name="_________________lbc32" hidden="1">#REF!</definedName>
    <definedName name="_________________lbc4" hidden="1">#REF!</definedName>
    <definedName name="_________________lbc5" hidden="1">#REF!</definedName>
    <definedName name="_________________lbc6" hidden="1">#REF!</definedName>
    <definedName name="_________________lbc7" hidden="1">#REF!</definedName>
    <definedName name="_________________lbc8" hidden="1">#REF!</definedName>
    <definedName name="_________________lbc9" hidden="1">#REF!</definedName>
    <definedName name="_________________ld26" hidden="1">#REF!</definedName>
    <definedName name="_________________ld31" hidden="1">#REF!</definedName>
    <definedName name="_________________le31" hidden="1">#REF!</definedName>
    <definedName name="_________________lf31" hidden="1">#REF!</definedName>
    <definedName name="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x10" hidden="1">#REF!</definedName>
    <definedName name="_________________x11" hidden="1">#REF!</definedName>
    <definedName name="_________________x12" hidden="1">#REF!</definedName>
    <definedName name="_________________x13" hidden="1">#REF!</definedName>
    <definedName name="_________________x14" hidden="1">#REF!</definedName>
    <definedName name="_________________x15" hidden="1">#REF!</definedName>
    <definedName name="_________________x16" hidden="1">#REF!</definedName>
    <definedName name="_________________x17" hidden="1">#REF!</definedName>
    <definedName name="_________________x18" hidden="1">#REF!</definedName>
    <definedName name="_________________x19" hidden="1">#REF!</definedName>
    <definedName name="_________________x20" hidden="1">#REF!</definedName>
    <definedName name="_________________x21" hidden="1">#REF!</definedName>
    <definedName name="_________________x22" hidden="1">#REF!</definedName>
    <definedName name="_________________x23" hidden="1">#REF!</definedName>
    <definedName name="_________________x24" hidden="1">#REF!</definedName>
    <definedName name="_________________x25" hidden="1">#REF!</definedName>
    <definedName name="_________________x28" hidden="1">#REF!</definedName>
    <definedName name="_________________x29" hidden="1">#REF!</definedName>
    <definedName name="_________________x32" hidden="1">#REF!</definedName>
    <definedName name="_________________x4" hidden="1">#REF!</definedName>
    <definedName name="_________________x5" hidden="1">#REF!</definedName>
    <definedName name="_________________x6" hidden="1">#REF!</definedName>
    <definedName name="_________________x7" hidden="1">#REF!</definedName>
    <definedName name="_________________x8" hidden="1">#REF!</definedName>
    <definedName name="_________________x9" hidden="1">#REF!</definedName>
    <definedName name="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la29" hidden="1">#REF!</definedName>
    <definedName name="________________la3" hidden="1">#REF!</definedName>
    <definedName name="________________la31" hidden="1">#REF!</definedName>
    <definedName name="________________la32" hidden="1">#REF!</definedName>
    <definedName name="________________la4" hidden="1">#REF!</definedName>
    <definedName name="________________la5" hidden="1">#REF!</definedName>
    <definedName name="________________la6" hidden="1">#REF!</definedName>
    <definedName name="________________la7" hidden="1">#REF!</definedName>
    <definedName name="________________la8" hidden="1">#REF!</definedName>
    <definedName name="________________la9" hidden="1">#REF!</definedName>
    <definedName name="________________lb1" hidden="1">#REF!</definedName>
    <definedName name="________________lb10" hidden="1">#REF!</definedName>
    <definedName name="________________lb11" hidden="1">#REF!</definedName>
    <definedName name="________________lb12" hidden="1">#REF!</definedName>
    <definedName name="________________lb13" hidden="1">#REF!</definedName>
    <definedName name="________________lb14" hidden="1">#REF!</definedName>
    <definedName name="________________lb15" hidden="1">#REF!</definedName>
    <definedName name="________________lb16" hidden="1">#REF!</definedName>
    <definedName name="________________lb17" hidden="1">#REF!</definedName>
    <definedName name="________________lb18" hidden="1">#REF!</definedName>
    <definedName name="________________lb19" hidden="1">#REF!</definedName>
    <definedName name="________________lb2" hidden="1">#REF!</definedName>
    <definedName name="________________lb20" hidden="1">#REF!</definedName>
    <definedName name="________________lb21" hidden="1">#REF!</definedName>
    <definedName name="________________lb22" hidden="1">#REF!</definedName>
    <definedName name="________________lb23" hidden="1">#REF!</definedName>
    <definedName name="________________lb24" hidden="1">#REF!</definedName>
    <definedName name="________________lb25" hidden="1">#REF!</definedName>
    <definedName name="________________lb27" hidden="1">#REF!</definedName>
    <definedName name="________________lb28" hidden="1">#REF!</definedName>
    <definedName name="________________lb29" hidden="1">#REF!</definedName>
    <definedName name="________________lb3" hidden="1">#REF!</definedName>
    <definedName name="________________lb30" hidden="1">#REF!</definedName>
    <definedName name="________________lb31" hidden="1">#REF!</definedName>
    <definedName name="________________lb32" hidden="1">#REF!</definedName>
    <definedName name="________________lb4" hidden="1">#REF!</definedName>
    <definedName name="________________lb5" hidden="1">#REF!</definedName>
    <definedName name="________________lb6" hidden="1">#REF!</definedName>
    <definedName name="________________lb7" hidden="1">#REF!</definedName>
    <definedName name="________________lb8" hidden="1">#REF!</definedName>
    <definedName name="________________lb9" hidden="1">#REF!</definedName>
    <definedName name="________________lbc1" hidden="1">#REF!</definedName>
    <definedName name="________________lbc10" hidden="1">#REF!</definedName>
    <definedName name="________________lbc11" hidden="1">#REF!</definedName>
    <definedName name="________________lbc12" hidden="1">#REF!</definedName>
    <definedName name="________________lbc13" hidden="1">#REF!</definedName>
    <definedName name="________________lbc14" hidden="1">#REF!</definedName>
    <definedName name="________________lbc15" hidden="1">#REF!</definedName>
    <definedName name="________________lbc16" hidden="1">#REF!</definedName>
    <definedName name="________________lbc17" hidden="1">#REF!</definedName>
    <definedName name="________________lbc18" hidden="1">#REF!</definedName>
    <definedName name="________________lbc19" hidden="1">#REF!</definedName>
    <definedName name="________________lbc2" hidden="1">#REF!</definedName>
    <definedName name="________________lbc20" hidden="1">#REF!</definedName>
    <definedName name="________________lbc21" hidden="1">#REF!</definedName>
    <definedName name="________________lbc22" hidden="1">#REF!</definedName>
    <definedName name="________________lbc23" hidden="1">#REF!</definedName>
    <definedName name="________________lbc24" hidden="1">#REF!</definedName>
    <definedName name="________________lbc25" hidden="1">#REF!</definedName>
    <definedName name="________________lbc26" hidden="1">#REF!</definedName>
    <definedName name="________________lbc27" hidden="1">#REF!</definedName>
    <definedName name="________________lbc28" hidden="1">#REF!</definedName>
    <definedName name="________________lbc29" hidden="1">#REF!</definedName>
    <definedName name="________________lbc3" hidden="1">#REF!</definedName>
    <definedName name="________________lbc31" hidden="1">#REF!</definedName>
    <definedName name="________________lbc32" hidden="1">#REF!</definedName>
    <definedName name="________________lbc4" hidden="1">#REF!</definedName>
    <definedName name="________________lbc5" hidden="1">#REF!</definedName>
    <definedName name="________________lbc6" hidden="1">#REF!</definedName>
    <definedName name="________________lbc7" hidden="1">#REF!</definedName>
    <definedName name="________________lbc8" hidden="1">#REF!</definedName>
    <definedName name="________________lbc9" hidden="1">#REF!</definedName>
    <definedName name="________________ld26" hidden="1">#REF!</definedName>
    <definedName name="________________ld31" hidden="1">#REF!</definedName>
    <definedName name="________________le31" hidden="1">#REF!</definedName>
    <definedName name="________________lf31" hidden="1">#REF!</definedName>
    <definedName name="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x10" hidden="1">#REF!</definedName>
    <definedName name="________________x11" hidden="1">#REF!</definedName>
    <definedName name="________________x12" hidden="1">#REF!</definedName>
    <definedName name="________________x13" hidden="1">#REF!</definedName>
    <definedName name="________________x14" hidden="1">#REF!</definedName>
    <definedName name="________________x15" hidden="1">#REF!</definedName>
    <definedName name="________________x16" hidden="1">#REF!</definedName>
    <definedName name="________________x17" hidden="1">#REF!</definedName>
    <definedName name="________________x18" hidden="1">#REF!</definedName>
    <definedName name="________________x19" hidden="1">#REF!</definedName>
    <definedName name="________________x20" hidden="1">#REF!</definedName>
    <definedName name="________________x21" hidden="1">#REF!</definedName>
    <definedName name="________________x22" hidden="1">#REF!</definedName>
    <definedName name="________________x23" hidden="1">#REF!</definedName>
    <definedName name="________________x24" hidden="1">#REF!</definedName>
    <definedName name="________________x25" hidden="1">#REF!</definedName>
    <definedName name="________________x28" hidden="1">#REF!</definedName>
    <definedName name="________________x29" hidden="1">#REF!</definedName>
    <definedName name="________________x32" hidden="1">#REF!</definedName>
    <definedName name="________________x4" hidden="1">#REF!</definedName>
    <definedName name="________________x5" hidden="1">#REF!</definedName>
    <definedName name="________________x6" hidden="1">#REF!</definedName>
    <definedName name="________________x7" hidden="1">#REF!</definedName>
    <definedName name="________________x8" hidden="1">#REF!</definedName>
    <definedName name="________________x9" hidden="1">#REF!</definedName>
    <definedName name="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la29" hidden="1">#REF!</definedName>
    <definedName name="_______________la3" hidden="1">#REF!</definedName>
    <definedName name="_______________la31" hidden="1">#REF!</definedName>
    <definedName name="_______________la32" hidden="1">#REF!</definedName>
    <definedName name="_______________la4" hidden="1">#REF!</definedName>
    <definedName name="_______________la5" hidden="1">#REF!</definedName>
    <definedName name="_______________la6" hidden="1">#REF!</definedName>
    <definedName name="_______________la7" hidden="1">#REF!</definedName>
    <definedName name="_______________la8" hidden="1">#REF!</definedName>
    <definedName name="_______________la9" hidden="1">#REF!</definedName>
    <definedName name="_______________lb1" hidden="1">#REF!</definedName>
    <definedName name="_______________lb10" hidden="1">#REF!</definedName>
    <definedName name="_______________lb11" hidden="1">#REF!</definedName>
    <definedName name="_______________lb12" hidden="1">#REF!</definedName>
    <definedName name="_______________lb13" hidden="1">#REF!</definedName>
    <definedName name="_______________lb14" hidden="1">#REF!</definedName>
    <definedName name="_______________lb15" hidden="1">#REF!</definedName>
    <definedName name="_______________lb16" hidden="1">#REF!</definedName>
    <definedName name="_______________lb17" hidden="1">#REF!</definedName>
    <definedName name="_______________lb18" hidden="1">#REF!</definedName>
    <definedName name="_______________lb19" hidden="1">#REF!</definedName>
    <definedName name="_______________lb2" hidden="1">#REF!</definedName>
    <definedName name="_______________lb20" hidden="1">#REF!</definedName>
    <definedName name="_______________lb21" hidden="1">#REF!</definedName>
    <definedName name="_______________lb22" hidden="1">#REF!</definedName>
    <definedName name="_______________lb23" hidden="1">#REF!</definedName>
    <definedName name="_______________lb24" hidden="1">#REF!</definedName>
    <definedName name="_______________lb25" hidden="1">#REF!</definedName>
    <definedName name="_______________lb27" hidden="1">#REF!</definedName>
    <definedName name="_______________lb28" hidden="1">#REF!</definedName>
    <definedName name="_______________lb29" hidden="1">#REF!</definedName>
    <definedName name="_______________lb3" hidden="1">#REF!</definedName>
    <definedName name="_______________lb30" hidden="1">#REF!</definedName>
    <definedName name="_______________lb31" hidden="1">#REF!</definedName>
    <definedName name="_______________lb32" hidden="1">#REF!</definedName>
    <definedName name="_______________lb4" hidden="1">#REF!</definedName>
    <definedName name="_______________lb5" hidden="1">#REF!</definedName>
    <definedName name="_______________lb6" hidden="1">#REF!</definedName>
    <definedName name="_______________lb7" hidden="1">#REF!</definedName>
    <definedName name="_______________lb8" hidden="1">#REF!</definedName>
    <definedName name="_______________lb9" hidden="1">#REF!</definedName>
    <definedName name="_______________lbc1" hidden="1">#REF!</definedName>
    <definedName name="_______________lbc10" hidden="1">#REF!</definedName>
    <definedName name="_______________lbc11" hidden="1">#REF!</definedName>
    <definedName name="_______________lbc12" hidden="1">#REF!</definedName>
    <definedName name="_______________lbc13" hidden="1">#REF!</definedName>
    <definedName name="_______________lbc14" hidden="1">#REF!</definedName>
    <definedName name="_______________lbc15" hidden="1">#REF!</definedName>
    <definedName name="_______________lbc16" hidden="1">#REF!</definedName>
    <definedName name="_______________lbc17" hidden="1">#REF!</definedName>
    <definedName name="_______________lbc18" hidden="1">#REF!</definedName>
    <definedName name="_______________lbc19" hidden="1">#REF!</definedName>
    <definedName name="_______________lbc2" hidden="1">#REF!</definedName>
    <definedName name="_______________lbc20" hidden="1">#REF!</definedName>
    <definedName name="_______________lbc21" hidden="1">#REF!</definedName>
    <definedName name="_______________lbc22" hidden="1">#REF!</definedName>
    <definedName name="_______________lbc23" hidden="1">#REF!</definedName>
    <definedName name="_______________lbc24" hidden="1">#REF!</definedName>
    <definedName name="_______________lbc25" hidden="1">#REF!</definedName>
    <definedName name="_______________lbc26" hidden="1">#REF!</definedName>
    <definedName name="_______________lbc27" hidden="1">#REF!</definedName>
    <definedName name="_______________lbc28" hidden="1">#REF!</definedName>
    <definedName name="_______________lbc29" hidden="1">#REF!</definedName>
    <definedName name="_______________lbc3" hidden="1">#REF!</definedName>
    <definedName name="_______________lbc31" hidden="1">#REF!</definedName>
    <definedName name="_______________lbc32" hidden="1">#REF!</definedName>
    <definedName name="_______________lbc4" hidden="1">#REF!</definedName>
    <definedName name="_______________lbc5" hidden="1">#REF!</definedName>
    <definedName name="_______________lbc6" hidden="1">#REF!</definedName>
    <definedName name="_______________lbc7" hidden="1">#REF!</definedName>
    <definedName name="_______________lbc8" hidden="1">#REF!</definedName>
    <definedName name="_______________lbc9" hidden="1">#REF!</definedName>
    <definedName name="_______________ld26" hidden="1">#REF!</definedName>
    <definedName name="_______________ld31" hidden="1">#REF!</definedName>
    <definedName name="_______________le31" hidden="1">#REF!</definedName>
    <definedName name="_______________lf31" hidden="1">#REF!</definedName>
    <definedName name="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x10" hidden="1">#REF!</definedName>
    <definedName name="_______________x11" hidden="1">#REF!</definedName>
    <definedName name="_______________x12" hidden="1">#REF!</definedName>
    <definedName name="_______________x13" hidden="1">#REF!</definedName>
    <definedName name="_______________x14" hidden="1">#REF!</definedName>
    <definedName name="_______________x15" hidden="1">#REF!</definedName>
    <definedName name="_______________x16" hidden="1">#REF!</definedName>
    <definedName name="_______________x17" hidden="1">#REF!</definedName>
    <definedName name="_______________x18" hidden="1">#REF!</definedName>
    <definedName name="_______________x19" hidden="1">#REF!</definedName>
    <definedName name="_______________x20" hidden="1">#REF!</definedName>
    <definedName name="_______________x21" hidden="1">#REF!</definedName>
    <definedName name="_______________x22" hidden="1">#REF!</definedName>
    <definedName name="_______________x23" hidden="1">#REF!</definedName>
    <definedName name="_______________x24" hidden="1">#REF!</definedName>
    <definedName name="_______________x25" hidden="1">#REF!</definedName>
    <definedName name="_______________x28" hidden="1">#REF!</definedName>
    <definedName name="_______________x29" hidden="1">#REF!</definedName>
    <definedName name="_______________x32" hidden="1">#REF!</definedName>
    <definedName name="_______________x4" hidden="1">#REF!</definedName>
    <definedName name="_______________x5" hidden="1">#REF!</definedName>
    <definedName name="_______________x6" hidden="1">#REF!</definedName>
    <definedName name="_______________x7" hidden="1">#REF!</definedName>
    <definedName name="_______________x8" hidden="1">#REF!</definedName>
    <definedName name="_______________x9" hidden="1">#REF!</definedName>
    <definedName name="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la29" hidden="1">#REF!</definedName>
    <definedName name="______________la3" hidden="1">#REF!</definedName>
    <definedName name="______________la31" hidden="1">#REF!</definedName>
    <definedName name="______________la32" hidden="1">#REF!</definedName>
    <definedName name="______________la4" hidden="1">#REF!</definedName>
    <definedName name="______________la5" hidden="1">#REF!</definedName>
    <definedName name="______________la6" hidden="1">#REF!</definedName>
    <definedName name="______________la7" hidden="1">#REF!</definedName>
    <definedName name="______________la8" hidden="1">#REF!</definedName>
    <definedName name="______________la9" hidden="1">#REF!</definedName>
    <definedName name="______________lb1" hidden="1">#REF!</definedName>
    <definedName name="______________lb10" hidden="1">#REF!</definedName>
    <definedName name="______________lb11" hidden="1">#REF!</definedName>
    <definedName name="______________lb12" hidden="1">#REF!</definedName>
    <definedName name="______________lb13" hidden="1">#REF!</definedName>
    <definedName name="______________lb14" hidden="1">#REF!</definedName>
    <definedName name="______________lb15" hidden="1">#REF!</definedName>
    <definedName name="______________lb16" hidden="1">#REF!</definedName>
    <definedName name="______________lb17" hidden="1">#REF!</definedName>
    <definedName name="______________lb18" hidden="1">#REF!</definedName>
    <definedName name="______________lb19" hidden="1">#REF!</definedName>
    <definedName name="______________lb2" hidden="1">#REF!</definedName>
    <definedName name="______________lb20" hidden="1">#REF!</definedName>
    <definedName name="______________lb21" hidden="1">#REF!</definedName>
    <definedName name="______________lb22" hidden="1">#REF!</definedName>
    <definedName name="______________lb23" hidden="1">#REF!</definedName>
    <definedName name="______________lb24" hidden="1">#REF!</definedName>
    <definedName name="______________lb25" hidden="1">#REF!</definedName>
    <definedName name="______________lb27" hidden="1">#REF!</definedName>
    <definedName name="______________lb28" hidden="1">#REF!</definedName>
    <definedName name="______________lb29" hidden="1">#REF!</definedName>
    <definedName name="______________lb3" hidden="1">#REF!</definedName>
    <definedName name="______________lb30" hidden="1">#REF!</definedName>
    <definedName name="______________lb31" hidden="1">#REF!</definedName>
    <definedName name="______________lb32" hidden="1">#REF!</definedName>
    <definedName name="______________lb4" hidden="1">#REF!</definedName>
    <definedName name="______________lb5" hidden="1">#REF!</definedName>
    <definedName name="______________lb6" hidden="1">#REF!</definedName>
    <definedName name="______________lb7" hidden="1">#REF!</definedName>
    <definedName name="______________lb8" hidden="1">#REF!</definedName>
    <definedName name="______________lb9" hidden="1">#REF!</definedName>
    <definedName name="______________lbc1" hidden="1">#REF!</definedName>
    <definedName name="______________lbc10" hidden="1">#REF!</definedName>
    <definedName name="______________lbc11" hidden="1">#REF!</definedName>
    <definedName name="______________lbc12" hidden="1">#REF!</definedName>
    <definedName name="______________lbc13" hidden="1">#REF!</definedName>
    <definedName name="______________lbc14" hidden="1">#REF!</definedName>
    <definedName name="______________lbc15" hidden="1">#REF!</definedName>
    <definedName name="______________lbc16" hidden="1">#REF!</definedName>
    <definedName name="______________lbc17" hidden="1">#REF!</definedName>
    <definedName name="______________lbc18" hidden="1">#REF!</definedName>
    <definedName name="______________lbc19" hidden="1">#REF!</definedName>
    <definedName name="______________lbc2" hidden="1">#REF!</definedName>
    <definedName name="______________lbc20" hidden="1">#REF!</definedName>
    <definedName name="______________lbc21" hidden="1">#REF!</definedName>
    <definedName name="______________lbc22" hidden="1">#REF!</definedName>
    <definedName name="______________lbc23" hidden="1">#REF!</definedName>
    <definedName name="______________lbc24" hidden="1">#REF!</definedName>
    <definedName name="______________lbc25" hidden="1">#REF!</definedName>
    <definedName name="______________lbc26" hidden="1">#REF!</definedName>
    <definedName name="______________lbc27" hidden="1">#REF!</definedName>
    <definedName name="______________lbc28" hidden="1">#REF!</definedName>
    <definedName name="______________lbc29" hidden="1">#REF!</definedName>
    <definedName name="______________lbc3" hidden="1">#REF!</definedName>
    <definedName name="______________lbc31" hidden="1">#REF!</definedName>
    <definedName name="______________lbc32" hidden="1">#REF!</definedName>
    <definedName name="______________lbc4" hidden="1">#REF!</definedName>
    <definedName name="______________lbc5" hidden="1">#REF!</definedName>
    <definedName name="______________lbc6" hidden="1">#REF!</definedName>
    <definedName name="______________lbc7" hidden="1">#REF!</definedName>
    <definedName name="______________lbc8" hidden="1">#REF!</definedName>
    <definedName name="______________lbc9" hidden="1">#REF!</definedName>
    <definedName name="______________ld26" hidden="1">#REF!</definedName>
    <definedName name="______________ld31" hidden="1">#REF!</definedName>
    <definedName name="______________le31" hidden="1">#REF!</definedName>
    <definedName name="______________lf31" hidden="1">#REF!</definedName>
    <definedName name="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x10" hidden="1">#REF!</definedName>
    <definedName name="______________x11" hidden="1">#REF!</definedName>
    <definedName name="______________x12" hidden="1">#REF!</definedName>
    <definedName name="______________x13" hidden="1">#REF!</definedName>
    <definedName name="______________x14" hidden="1">#REF!</definedName>
    <definedName name="______________x15" hidden="1">#REF!</definedName>
    <definedName name="______________x16" hidden="1">#REF!</definedName>
    <definedName name="______________x17" hidden="1">#REF!</definedName>
    <definedName name="______________x18" hidden="1">#REF!</definedName>
    <definedName name="______________x19" hidden="1">#REF!</definedName>
    <definedName name="______________x20" hidden="1">#REF!</definedName>
    <definedName name="______________x21" hidden="1">#REF!</definedName>
    <definedName name="______________x22" hidden="1">#REF!</definedName>
    <definedName name="______________x23" hidden="1">#REF!</definedName>
    <definedName name="______________x24" hidden="1">#REF!</definedName>
    <definedName name="______________x25" hidden="1">#REF!</definedName>
    <definedName name="______________x28" hidden="1">#REF!</definedName>
    <definedName name="______________x29" hidden="1">#REF!</definedName>
    <definedName name="______________x32" hidden="1">#REF!</definedName>
    <definedName name="______________x4" hidden="1">#REF!</definedName>
    <definedName name="______________x5" hidden="1">#REF!</definedName>
    <definedName name="______________x6" hidden="1">#REF!</definedName>
    <definedName name="______________x7" hidden="1">#REF!</definedName>
    <definedName name="______________x8" hidden="1">#REF!</definedName>
    <definedName name="______________x9" hidden="1">#REF!</definedName>
    <definedName name="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la29" hidden="1">#REF!</definedName>
    <definedName name="_____________la3" hidden="1">#REF!</definedName>
    <definedName name="_____________la31" hidden="1">#REF!</definedName>
    <definedName name="_____________la32" hidden="1">#REF!</definedName>
    <definedName name="_____________la4" hidden="1">#REF!</definedName>
    <definedName name="_____________la5" hidden="1">#REF!</definedName>
    <definedName name="_____________la6" hidden="1">#REF!</definedName>
    <definedName name="_____________la7" hidden="1">#REF!</definedName>
    <definedName name="_____________la8" hidden="1">#REF!</definedName>
    <definedName name="_____________la9" hidden="1">#REF!</definedName>
    <definedName name="_____________lb1" hidden="1">#REF!</definedName>
    <definedName name="_____________lb10" hidden="1">#REF!</definedName>
    <definedName name="_____________lb11" hidden="1">#REF!</definedName>
    <definedName name="_____________lb12" hidden="1">#REF!</definedName>
    <definedName name="_____________lb13" hidden="1">#REF!</definedName>
    <definedName name="_____________lb14" hidden="1">#REF!</definedName>
    <definedName name="_____________lb15" hidden="1">#REF!</definedName>
    <definedName name="_____________lb16" hidden="1">#REF!</definedName>
    <definedName name="_____________lb17" hidden="1">#REF!</definedName>
    <definedName name="_____________lb18" hidden="1">#REF!</definedName>
    <definedName name="_____________lb19" hidden="1">#REF!</definedName>
    <definedName name="_____________lb2" hidden="1">#REF!</definedName>
    <definedName name="_____________lb20" hidden="1">#REF!</definedName>
    <definedName name="_____________lb21" hidden="1">#REF!</definedName>
    <definedName name="_____________lb22" hidden="1">#REF!</definedName>
    <definedName name="_____________lb23" hidden="1">#REF!</definedName>
    <definedName name="_____________lb24" hidden="1">#REF!</definedName>
    <definedName name="_____________lb25" hidden="1">#REF!</definedName>
    <definedName name="_____________lb27" hidden="1">#REF!</definedName>
    <definedName name="_____________lb28" hidden="1">#REF!</definedName>
    <definedName name="_____________lb29" hidden="1">#REF!</definedName>
    <definedName name="_____________lb3" hidden="1">#REF!</definedName>
    <definedName name="_____________lb30" hidden="1">#REF!</definedName>
    <definedName name="_____________lb31" hidden="1">#REF!</definedName>
    <definedName name="_____________lb32" hidden="1">#REF!</definedName>
    <definedName name="_____________lb4" hidden="1">#REF!</definedName>
    <definedName name="_____________lb5" hidden="1">#REF!</definedName>
    <definedName name="_____________lb6" hidden="1">#REF!</definedName>
    <definedName name="_____________lb7" hidden="1">#REF!</definedName>
    <definedName name="_____________lb8" hidden="1">#REF!</definedName>
    <definedName name="_____________lb9" hidden="1">#REF!</definedName>
    <definedName name="_____________lbc1" hidden="1">#REF!</definedName>
    <definedName name="_____________lbc10" hidden="1">#REF!</definedName>
    <definedName name="_____________lbc11" hidden="1">#REF!</definedName>
    <definedName name="_____________lbc12" hidden="1">#REF!</definedName>
    <definedName name="_____________lbc13" hidden="1">#REF!</definedName>
    <definedName name="_____________lbc14" hidden="1">#REF!</definedName>
    <definedName name="_____________lbc15" hidden="1">#REF!</definedName>
    <definedName name="_____________lbc16" hidden="1">#REF!</definedName>
    <definedName name="_____________lbc17" hidden="1">#REF!</definedName>
    <definedName name="_____________lbc18" hidden="1">#REF!</definedName>
    <definedName name="_____________lbc19" hidden="1">#REF!</definedName>
    <definedName name="_____________lbc2" hidden="1">#REF!</definedName>
    <definedName name="_____________lbc20" hidden="1">#REF!</definedName>
    <definedName name="_____________lbc21" hidden="1">#REF!</definedName>
    <definedName name="_____________lbc22" hidden="1">#REF!</definedName>
    <definedName name="_____________lbc23" hidden="1">#REF!</definedName>
    <definedName name="_____________lbc24" hidden="1">#REF!</definedName>
    <definedName name="_____________lbc25" hidden="1">#REF!</definedName>
    <definedName name="_____________lbc26" hidden="1">#REF!</definedName>
    <definedName name="_____________lbc27" hidden="1">#REF!</definedName>
    <definedName name="_____________lbc28" hidden="1">#REF!</definedName>
    <definedName name="_____________lbc29" hidden="1">#REF!</definedName>
    <definedName name="_____________lbc3" hidden="1">#REF!</definedName>
    <definedName name="_____________lbc31" hidden="1">#REF!</definedName>
    <definedName name="_____________lbc32" hidden="1">#REF!</definedName>
    <definedName name="_____________lbc4" hidden="1">#REF!</definedName>
    <definedName name="_____________lbc5" hidden="1">#REF!</definedName>
    <definedName name="_____________lbc6" hidden="1">#REF!</definedName>
    <definedName name="_____________lbc7" hidden="1">#REF!</definedName>
    <definedName name="_____________lbc8" hidden="1">#REF!</definedName>
    <definedName name="_____________lbc9" hidden="1">#REF!</definedName>
    <definedName name="_____________ld26" hidden="1">#REF!</definedName>
    <definedName name="_____________ld31" hidden="1">#REF!</definedName>
    <definedName name="_____________le31" hidden="1">#REF!</definedName>
    <definedName name="_____________lf31" hidden="1">#REF!</definedName>
    <definedName name="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x10" hidden="1">#REF!</definedName>
    <definedName name="_____________x11" hidden="1">#REF!</definedName>
    <definedName name="_____________x12" hidden="1">#REF!</definedName>
    <definedName name="_____________x13" hidden="1">#REF!</definedName>
    <definedName name="_____________x14" hidden="1">#REF!</definedName>
    <definedName name="_____________x15" hidden="1">#REF!</definedName>
    <definedName name="_____________x16" hidden="1">#REF!</definedName>
    <definedName name="_____________x17" hidden="1">#REF!</definedName>
    <definedName name="_____________x18" hidden="1">#REF!</definedName>
    <definedName name="_____________x19" hidden="1">#REF!</definedName>
    <definedName name="_____________x20" hidden="1">#REF!</definedName>
    <definedName name="_____________x21" hidden="1">#REF!</definedName>
    <definedName name="_____________x22" hidden="1">#REF!</definedName>
    <definedName name="_____________x23" hidden="1">#REF!</definedName>
    <definedName name="_____________x24" hidden="1">#REF!</definedName>
    <definedName name="_____________x25" hidden="1">#REF!</definedName>
    <definedName name="_____________x28" hidden="1">#REF!</definedName>
    <definedName name="_____________x29" hidden="1">#REF!</definedName>
    <definedName name="_____________x32" hidden="1">#REF!</definedName>
    <definedName name="_____________x4" hidden="1">#REF!</definedName>
    <definedName name="_____________x5" hidden="1">#REF!</definedName>
    <definedName name="_____________x6" hidden="1">#REF!</definedName>
    <definedName name="_____________x7" hidden="1">#REF!</definedName>
    <definedName name="_____________x8" hidden="1">#REF!</definedName>
    <definedName name="_____________x9" hidden="1">#REF!</definedName>
    <definedName name="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la29" hidden="1">#REF!</definedName>
    <definedName name="____________la3" hidden="1">#REF!</definedName>
    <definedName name="____________la31" hidden="1">#REF!</definedName>
    <definedName name="____________la32" hidden="1">#REF!</definedName>
    <definedName name="____________la4" hidden="1">#REF!</definedName>
    <definedName name="____________la5" hidden="1">#REF!</definedName>
    <definedName name="____________la6" hidden="1">#REF!</definedName>
    <definedName name="____________la7" hidden="1">#REF!</definedName>
    <definedName name="____________la8" hidden="1">#REF!</definedName>
    <definedName name="____________la9" hidden="1">#REF!</definedName>
    <definedName name="____________lb1" hidden="1">#REF!</definedName>
    <definedName name="____________lb10" hidden="1">#REF!</definedName>
    <definedName name="____________lb11" hidden="1">#REF!</definedName>
    <definedName name="____________lb12" hidden="1">#REF!</definedName>
    <definedName name="____________lb13" hidden="1">#REF!</definedName>
    <definedName name="____________lb14" hidden="1">#REF!</definedName>
    <definedName name="____________lb15" hidden="1">#REF!</definedName>
    <definedName name="____________lb16" hidden="1">#REF!</definedName>
    <definedName name="____________lb17" hidden="1">#REF!</definedName>
    <definedName name="____________lb18" hidden="1">#REF!</definedName>
    <definedName name="____________lb19" hidden="1">#REF!</definedName>
    <definedName name="____________lb2" hidden="1">#REF!</definedName>
    <definedName name="____________lb20" hidden="1">#REF!</definedName>
    <definedName name="____________lb21" hidden="1">#REF!</definedName>
    <definedName name="____________lb22" hidden="1">#REF!</definedName>
    <definedName name="____________lb23" hidden="1">#REF!</definedName>
    <definedName name="____________lb24" hidden="1">#REF!</definedName>
    <definedName name="____________lb25" hidden="1">#REF!</definedName>
    <definedName name="____________lb27" hidden="1">#REF!</definedName>
    <definedName name="____________lb28" hidden="1">#REF!</definedName>
    <definedName name="____________lb29" hidden="1">#REF!</definedName>
    <definedName name="____________lb3" hidden="1">#REF!</definedName>
    <definedName name="____________lb30" hidden="1">#REF!</definedName>
    <definedName name="____________lb31" hidden="1">#REF!</definedName>
    <definedName name="____________lb32" hidden="1">#REF!</definedName>
    <definedName name="____________lb4" hidden="1">#REF!</definedName>
    <definedName name="____________lb5" hidden="1">#REF!</definedName>
    <definedName name="____________lb6" hidden="1">#REF!</definedName>
    <definedName name="____________lb7" hidden="1">#REF!</definedName>
    <definedName name="____________lb8" hidden="1">#REF!</definedName>
    <definedName name="____________lb9" hidden="1">#REF!</definedName>
    <definedName name="____________lbc1" hidden="1">#REF!</definedName>
    <definedName name="____________lbc10" hidden="1">#REF!</definedName>
    <definedName name="____________lbc11" hidden="1">#REF!</definedName>
    <definedName name="____________lbc12" hidden="1">#REF!</definedName>
    <definedName name="____________lbc13" hidden="1">#REF!</definedName>
    <definedName name="____________lbc14" hidden="1">#REF!</definedName>
    <definedName name="____________lbc15" hidden="1">#REF!</definedName>
    <definedName name="____________lbc16" hidden="1">#REF!</definedName>
    <definedName name="____________lbc17" hidden="1">#REF!</definedName>
    <definedName name="____________lbc18" hidden="1">#REF!</definedName>
    <definedName name="____________lbc19" hidden="1">#REF!</definedName>
    <definedName name="____________lbc2" hidden="1">#REF!</definedName>
    <definedName name="____________lbc20" hidden="1">#REF!</definedName>
    <definedName name="____________lbc21" hidden="1">#REF!</definedName>
    <definedName name="____________lbc22" hidden="1">#REF!</definedName>
    <definedName name="____________lbc23" hidden="1">#REF!</definedName>
    <definedName name="____________lbc24" hidden="1">#REF!</definedName>
    <definedName name="____________lbc25" hidden="1">#REF!</definedName>
    <definedName name="____________lbc26" hidden="1">#REF!</definedName>
    <definedName name="____________lbc27" hidden="1">#REF!</definedName>
    <definedName name="____________lbc28" hidden="1">#REF!</definedName>
    <definedName name="____________lbc29" hidden="1">#REF!</definedName>
    <definedName name="____________lbc3" hidden="1">#REF!</definedName>
    <definedName name="____________lbc31" hidden="1">#REF!</definedName>
    <definedName name="____________lbc32" hidden="1">#REF!</definedName>
    <definedName name="____________lbc4" hidden="1">#REF!</definedName>
    <definedName name="____________lbc5" hidden="1">#REF!</definedName>
    <definedName name="____________lbc6" hidden="1">#REF!</definedName>
    <definedName name="____________lbc7" hidden="1">#REF!</definedName>
    <definedName name="____________lbc8" hidden="1">#REF!</definedName>
    <definedName name="____________lbc9" hidden="1">#REF!</definedName>
    <definedName name="____________ld26" hidden="1">#REF!</definedName>
    <definedName name="____________ld31" hidden="1">#REF!</definedName>
    <definedName name="____________le31" hidden="1">#REF!</definedName>
    <definedName name="____________lf31" hidden="1">#REF!</definedName>
    <definedName name="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x10" hidden="1">#REF!</definedName>
    <definedName name="____________x11" hidden="1">#REF!</definedName>
    <definedName name="____________x12" hidden="1">#REF!</definedName>
    <definedName name="____________x13" hidden="1">#REF!</definedName>
    <definedName name="____________x14" hidden="1">#REF!</definedName>
    <definedName name="____________x15" hidden="1">#REF!</definedName>
    <definedName name="____________x16" hidden="1">#REF!</definedName>
    <definedName name="____________x17" hidden="1">#REF!</definedName>
    <definedName name="____________x18" hidden="1">#REF!</definedName>
    <definedName name="____________x19" hidden="1">#REF!</definedName>
    <definedName name="____________x20" hidden="1">#REF!</definedName>
    <definedName name="____________x21" hidden="1">#REF!</definedName>
    <definedName name="____________x22" hidden="1">#REF!</definedName>
    <definedName name="____________x23" hidden="1">#REF!</definedName>
    <definedName name="____________x24" hidden="1">#REF!</definedName>
    <definedName name="____________x25" hidden="1">#REF!</definedName>
    <definedName name="____________x28" hidden="1">#REF!</definedName>
    <definedName name="____________x29" hidden="1">#REF!</definedName>
    <definedName name="____________x32" hidden="1">#REF!</definedName>
    <definedName name="____________x4" hidden="1">#REF!</definedName>
    <definedName name="____________x5" hidden="1">#REF!</definedName>
    <definedName name="____________x6" hidden="1">#REF!</definedName>
    <definedName name="____________x7" hidden="1">#REF!</definedName>
    <definedName name="____________x8" hidden="1">#REF!</definedName>
    <definedName name="____________x9" hidden="1">#REF!</definedName>
    <definedName name="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la29" hidden="1">#REF!</definedName>
    <definedName name="___________la3" hidden="1">#REF!</definedName>
    <definedName name="___________la31" hidden="1">#REF!</definedName>
    <definedName name="___________la32" hidden="1">#REF!</definedName>
    <definedName name="___________la4" hidden="1">#REF!</definedName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blk3" hidden="1">{"sheet1",#N/A,FALSE,"easheet";"sheet2a",#N/A,FALSE,"easheet";"sheet2b",#N/A,FALSE,"easheet";"sheet3",#N/A,FALSE,"easheet"}</definedName>
    <definedName name="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lk3" hidden="1">{"sheet1",#N/A,FALSE,"easheet";"sheet2a",#N/A,FALSE,"easheet";"sheet2b",#N/A,FALSE,"easheet";"sheet3",#N/A,FALSE,"easheet"}</definedName>
    <definedName name="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blk3" hidden="1">{"sheet1",#N/A,FALSE,"easheet";"sheet2a",#N/A,FALSE,"easheet";"sheet2b",#N/A,FALSE,"easheet";"sheet3",#N/A,FALSE,"easheet"}</definedName>
    <definedName name="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lk3" hidden="1">{"sheet1",#N/A,FALSE,"easheet";"sheet2a",#N/A,FALSE,"easheet";"sheet2b",#N/A,FALSE,"easheet";"sheet3",#N/A,FALSE,"easheet"}</definedName>
    <definedName name="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AUX1">#REF!</definedName>
    <definedName name="______aux2">#REF!</definedName>
    <definedName name="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lk3" hidden="1">{"sheet1",#N/A,FALSE,"easheet";"sheet2a",#N/A,FALSE,"easheet";"sheet2b",#N/A,FALSE,"easheet";"sheet3",#N/A,FALSE,"easheet"}</definedName>
    <definedName name="______dre1">#REF!</definedName>
    <definedName name="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oae1">#REF!</definedName>
    <definedName name="______pav1">#REF!</definedName>
    <definedName name="______pre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ev1">#REF!</definedName>
    <definedName name="______seg1">#REF!</definedName>
    <definedName name="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sih1">#REF!</definedName>
    <definedName name="______tab1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AUX1">#REF!</definedName>
    <definedName name="_____aux2">#REF!</definedName>
    <definedName name="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lk3" hidden="1">{"sheet1",#N/A,FALSE,"easheet";"sheet2a",#N/A,FALSE,"easheet";"sheet2b",#N/A,FALSE,"easheet";"sheet3",#N/A,FALSE,"easheet"}</definedName>
    <definedName name="_____CPU10">#REF!</definedName>
    <definedName name="_____CPU3">#REF!</definedName>
    <definedName name="_____CTD1">#REF!</definedName>
    <definedName name="_____CUB01">#REF!</definedName>
    <definedName name="_____dre1">#REF!</definedName>
    <definedName name="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key2" hidden="1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6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MLH1">#REF!</definedName>
    <definedName name="_____MLH2">#REF!</definedName>
    <definedName name="_____MLH3">#REF!</definedName>
    <definedName name="_____oae1">#REF!</definedName>
    <definedName name="_____pav1">#REF!</definedName>
    <definedName name="_____pre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ev1">#REF!</definedName>
    <definedName name="_____seg1">#REF!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ih1">#REF!</definedName>
    <definedName name="_____tab1">#REF!</definedName>
    <definedName name="_____VAX1">#REF!</definedName>
    <definedName name="_____VAX2">#REF!</definedName>
    <definedName name="_____VRL1">#REF!</definedName>
    <definedName name="_____VRL2">#REF!</definedName>
    <definedName name="_____VRL3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lk3" hidden="1">{"sheet1",#N/A,FALSE,"easheet";"sheet2a",#N/A,FALSE,"easheet";"sheet2b",#N/A,FALSE,"easheet";"sheet3",#N/A,FALSE,"easheet"}</definedName>
    <definedName name="____CPU10">#REF!</definedName>
    <definedName name="____CPU3">#REF!</definedName>
    <definedName name="____CTD1">#REF!</definedName>
    <definedName name="____CUB01">#REF!</definedName>
    <definedName name="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key2" hidden="1">#REF!</definedName>
    <definedName name="____l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6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MLH1">#REF!</definedName>
    <definedName name="____MLH2">#REF!</definedName>
    <definedName name="____MLH3">#REF!</definedName>
    <definedName name="____MP100">#REF!</definedName>
    <definedName name="____PK2" hidden="1">{"'장비'!$A$3:$M$12"}</definedName>
    <definedName name="____PKG3" hidden="1">{"'장비'!$A$3:$M$12"}</definedName>
    <definedName name="____PL1">#REF!</definedName>
    <definedName name="____qqq222" hidden="1">{"'장비'!$A$3:$M$12"}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tab0198">#REF!</definedName>
    <definedName name="____VAX1">#REF!</definedName>
    <definedName name="____VAX2">#REF!</definedName>
    <definedName name="____VRL1">#REF!</definedName>
    <definedName name="____VRL2">#REF!</definedName>
    <definedName name="____VRL3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pf1">#REF!</definedName>
    <definedName name="___ARQ1">#REF!</definedName>
    <definedName name="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lk3" hidden="1">{"sheet1",#N/A,FALSE,"easheet";"sheet2a",#N/A,FALSE,"easheet";"sheet2b",#N/A,FALSE,"easheet";"sheet3",#N/A,FALSE,"easheet"}</definedName>
    <definedName name="___BOS1" hidden="1">{#N/A,#N/A,FALSE,"부대1"}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pf1">#REF!</definedName>
    <definedName name="___CPU10">#REF!</definedName>
    <definedName name="___CPU3">#REF!</definedName>
    <definedName name="___CUB01">#REF!</definedName>
    <definedName name="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Fl4" hidden="1">{#N/A,#N/A,FALSE,"ET-CAPA";#N/A,#N/A,FALSE,"ET-PAG1";#N/A,#N/A,FALSE,"ET-PAG2";#N/A,#N/A,FALSE,"ET-PAG3";#N/A,#N/A,FALSE,"ET-PAG4";#N/A,#N/A,FALSE,"ET-PAG5"}</definedName>
    <definedName name="___hel11">#REF!</definedName>
    <definedName name="___hlc25">#REF!</definedName>
    <definedName name="___hlc30">#REF!</definedName>
    <definedName name="___hlc35">#REF!</definedName>
    <definedName name="___hlc40">#REF!</definedName>
    <definedName name="___hlc50">#REF!</definedName>
    <definedName name="___hlc60">#REF!</definedName>
    <definedName name="___hlc70">#REF!</definedName>
    <definedName name="___hlc80">#REF!</definedName>
    <definedName name="___hlc90">#REF!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6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MP100">#REF!</definedName>
    <definedName name="___PK2" hidden="1">{"'장비'!$A$3:$M$12"}</definedName>
    <definedName name="___PKG3" hidden="1">{"'장비'!$A$3:$M$12"}</definedName>
    <definedName name="___PL1">#REF!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" hidden="1">{#N/A,#N/A,FALSE,"GRAFICO";#N/A,#N/A,FALSE,"CAJA (2)";#N/A,#N/A,FALSE,"TERCEROS-PROMEDIO";#N/A,#N/A,FALSE,"CAJA";#N/A,#N/A,FALSE,"INGRESOS1995-2003";#N/A,#N/A,FALSE,"GASTOS1995-2003"}</definedName>
    <definedName name="___SE2">#REF!</definedName>
    <definedName name="___SE2A">#REF!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tab0198">#REF!</definedName>
    <definedName name="___VV9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_xlfn_SUMIFS">NA()</definedName>
    <definedName name="__123Graph_A" hidden="1">#REF!</definedName>
    <definedName name="__123Graph_ADISTRIBUIÇÃO" hidden="1">#REF!</definedName>
    <definedName name="__123Graph_Aｶﾚﾝﾄ" hidden="1">#REF!</definedName>
    <definedName name="__123Graph_B" hidden="1">#REF!</definedName>
    <definedName name="__123Graph_BDISTRIBUIÇÃO" hidden="1">#REF!</definedName>
    <definedName name="__123Graph_Bｶﾚﾝﾄ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D" hidden="1">#REF!</definedName>
    <definedName name="__123Graph_Dｶﾚﾝﾄ" hidden="1">#REF!</definedName>
    <definedName name="__123Graph_E" hidden="1">#REF!</definedName>
    <definedName name="__123Graph_Eｶﾚﾝﾄ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X" hidden="1">#REF!</definedName>
    <definedName name="__123Graph_XDISTRIBUIÇÃO" hidden="1">#REF!</definedName>
    <definedName name="__2__123Graph_ACHART_1" hidden="1">#REF!</definedName>
    <definedName name="__4__123Graph_BCHART_1" hidden="1">#REF!</definedName>
    <definedName name="__5__123Graph_XCHART_1" hidden="1">#REF!</definedName>
    <definedName name="__6Excel_BuiltIn_Print_Area_3_1_1_1_1_1">#REF!</definedName>
    <definedName name="__A1">#REF!</definedName>
    <definedName name="__ACR10">#REF!</definedName>
    <definedName name="__ACR15">#REF!</definedName>
    <definedName name="__acr20">#REF!</definedName>
    <definedName name="__acr5">#REF!</definedName>
    <definedName name="__apf1">#REF!</definedName>
    <definedName name="__ARQ1">#REF!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lk3" hidden="1">{"sheet1",#N/A,FALSE,"easheet";"sheet2a",#N/A,FALSE,"easheet";"sheet2b",#N/A,FALSE,"easheet";"sheet3",#N/A,FALSE,"easheet"}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pf1">#REF!</definedName>
    <definedName name="__CPU10">#REF!</definedName>
    <definedName name="__CPU3">#REF!</definedName>
    <definedName name="__CUB01">#REF!</definedName>
    <definedName name="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Fl4" hidden="1">{#N/A,#N/A,FALSE,"ET-CAPA";#N/A,#N/A,FALSE,"ET-PAG1";#N/A,#N/A,FALSE,"ET-PAG2";#N/A,#N/A,FALSE,"ET-PAG3";#N/A,#N/A,FALSE,"ET-PAG4";#N/A,#N/A,FALSE,"ET-PAG5"}</definedName>
    <definedName name="__IntlFixup" hidden="1">TRUE</definedName>
    <definedName name="__key2" hidden="1">#REF!</definedName>
    <definedName name="__l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6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OR1">#REF!</definedName>
    <definedName name="__OR12">#REF!</definedName>
    <definedName name="__OR13">#REF!</definedName>
    <definedName name="__OR14">#REF!</definedName>
    <definedName name="__OR15">#REF!</definedName>
    <definedName name="__OR16">#REF!</definedName>
    <definedName name="__OR17">#REF!</definedName>
    <definedName name="__OR18">#REF!</definedName>
    <definedName name="__OR19">#REF!</definedName>
    <definedName name="__OR2">#REF!</definedName>
    <definedName name="__OR3">#REF!</definedName>
    <definedName name="__OR4">#REF!</definedName>
    <definedName name="__OR5">#REF!</definedName>
    <definedName name="__OR6">#REF!</definedName>
    <definedName name="__OR7">#REF!</definedName>
    <definedName name="__OR8">#REF!</definedName>
    <definedName name="__OR9">#REF!</definedName>
    <definedName name="__PK2" hidden="1">{"'장비'!$A$3:$M$12"}</definedName>
    <definedName name="__PKG3" hidden="1">{"'장비'!$A$3:$M$12"}</definedName>
    <definedName name="__PPU1" hidden="1">{#N/A,#N/A,FALSE,"Cronograma";#N/A,#N/A,FALSE,"Cronogr. 2"}</definedName>
    <definedName name="__ppu2" hidden="1">{#N/A,#N/A,FALSE,"Cronograma";#N/A,#N/A,FALSE,"Cronogr. 2"}</definedName>
    <definedName name="__PRE010206">#REF!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">#REF!</definedName>
    <definedName name="__REC13112">#REF!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iv1">#REF!</definedName>
    <definedName name="__tab0198">#REF!</definedName>
    <definedName name="__TT102">#REF!</definedName>
    <definedName name="__TT107">#REF!</definedName>
    <definedName name="__TT121">#REF!</definedName>
    <definedName name="__TT123">#REF!</definedName>
    <definedName name="__TT19">#REF!</definedName>
    <definedName name="__TT20">#REF!</definedName>
    <definedName name="__TT21">#REF!</definedName>
    <definedName name="__TT22">#REF!</definedName>
    <definedName name="__TT26">#REF!</definedName>
    <definedName name="__TT27">#REF!</definedName>
    <definedName name="__TT28">#REF!</definedName>
    <definedName name="__TT30">#REF!</definedName>
    <definedName name="__TT31">#REF!</definedName>
    <definedName name="__TT32">#REF!</definedName>
    <definedName name="__TT33">#REF!</definedName>
    <definedName name="__TT34">#REF!</definedName>
    <definedName name="__TT36">#REF!</definedName>
    <definedName name="__TT37">#REF!</definedName>
    <definedName name="__TT38">#REF!</definedName>
    <definedName name="__TT39">#REF!</definedName>
    <definedName name="__TT40">#REF!</definedName>
    <definedName name="__TT5">#REF!</definedName>
    <definedName name="__TT52">#REF!</definedName>
    <definedName name="__TT53">#REF!</definedName>
    <definedName name="__TT54">#REF!</definedName>
    <definedName name="__TT55">#REF!</definedName>
    <definedName name="__TT6">#REF!</definedName>
    <definedName name="__TT60">#REF!</definedName>
    <definedName name="__TT61">#REF!</definedName>
    <definedName name="__TT69">#REF!</definedName>
    <definedName name="__TT7">#REF!</definedName>
    <definedName name="__TT70">#REF!</definedName>
    <definedName name="__TT71">#REF!</definedName>
    <definedName name="__TT74">#REF!</definedName>
    <definedName name="__TT75">#REF!</definedName>
    <definedName name="__TT76">#REF!</definedName>
    <definedName name="__TT77">#REF!</definedName>
    <definedName name="__TT78">#REF!</definedName>
    <definedName name="__TT79">#REF!</definedName>
    <definedName name="__TT94">#REF!</definedName>
    <definedName name="__TT95">#REF!</definedName>
    <definedName name="__TT97">#REF!</definedName>
    <definedName name="__UNI13112">#REF!</definedName>
    <definedName name="__VAL13112">#REF!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_xlfn_IFERROR">#N/A</definedName>
    <definedName name="__xlfn_SUMIFS">NA()</definedName>
    <definedName name="_0">#REF!</definedName>
    <definedName name="_0.CURVA_OBRA">#REF!</definedName>
    <definedName name="_0_2">#REF!</definedName>
    <definedName name="_0_5">#REF!</definedName>
    <definedName name="_0_6">#REF!</definedName>
    <definedName name="_0_7">#REF!</definedName>
    <definedName name="_00.VAR._GASTO">#REF!</definedName>
    <definedName name="_000.CURVA_FINA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.01.01">#REF!</definedName>
    <definedName name="_1">#REF!</definedName>
    <definedName name="_1__123Graph_ACHART_1" hidden="1">#REF!</definedName>
    <definedName name="_1__123Graph_XCHART_1" hidden="1">#REF!</definedName>
    <definedName name="_10Excel_BuiltIn_Print_Area_5_1">#REF!</definedName>
    <definedName name="_10Excel_BuiltIn_Print_Area_7_1">#REF!</definedName>
    <definedName name="_11">#N/A</definedName>
    <definedName name="_11.SERV.TECNIC">#REF!</definedName>
    <definedName name="_11_Projetos_e_serviços_técnicos">#REF!</definedName>
    <definedName name="_11Excel_BuiltIn_Print_Area_8_1">(#REF!,#REF!)</definedName>
    <definedName name="_12">#N/A</definedName>
    <definedName name="_12.GAST_GERAIS">#REF!</definedName>
    <definedName name="_12_Indiretos_e_canteiro">#REF!</definedName>
    <definedName name="_123" hidden="1">#REF!</definedName>
    <definedName name="_12Excel_BuiltIn_Print_Area_6_1">#REF!</definedName>
    <definedName name="_12Excel_BuiltIn_Print_Area_9_1">#REF!</definedName>
    <definedName name="_13">#N/A</definedName>
    <definedName name="_13.P._PERMAN.">#REF!</definedName>
    <definedName name="_13_Segurança_do_canteiro">#REF!</definedName>
    <definedName name="_13Excel_BuiltIn_Print_Titles_3_1">#REF!</definedName>
    <definedName name="_14">#N/A</definedName>
    <definedName name="_14_Máquinas_e_ferramentas">#REF!</definedName>
    <definedName name="_14Excel_BuiltIn_Print_Area_7_1">#REF!</definedName>
    <definedName name="_14Excel_BuiltIn_Print_Titles_4_1">#REF!</definedName>
    <definedName name="_15">#N/A</definedName>
    <definedName name="_15.IMPL._CANT">#REF!</definedName>
    <definedName name="_15_Equipamentos_de_apoio_a_produção">#REF!</definedName>
    <definedName name="_15Excel_BuiltIn_Print_Area_8_1">(#REF!,#REF!)</definedName>
    <definedName name="_15Excel_BuiltIn_Print_Titles_5_1">#REF!</definedName>
    <definedName name="_16">#N/A</definedName>
    <definedName name="_16.EQUIPAM.">#REF!</definedName>
    <definedName name="_16__123Graph_CCHART_2" hidden="1">#REF!</definedName>
    <definedName name="_16_Consumos_e_despesas">#REF!</definedName>
    <definedName name="_16Excel_BuiltIn_Print_Titles_6_1">#REF!</definedName>
    <definedName name="_17">#N/A</definedName>
    <definedName name="_17.OPER._CANT.">#REF!</definedName>
    <definedName name="_17_Preparo_do_terreno">#REF!</definedName>
    <definedName name="_17Excel_BuiltIn_Print_Area_9_1">#REF!</definedName>
    <definedName name="_17Excel_BuiltIn_Print_Titles_7_1">#REF!</definedName>
    <definedName name="_18__123Graph_DCHART_2" hidden="1">#REF!</definedName>
    <definedName name="_18_Fundação_e_contenções">#REF!</definedName>
    <definedName name="_18Excel_BuiltIn_Print_Titles_9_1">#REF!</definedName>
    <definedName name="_19.TRANC_LIMP.">#REF!</definedName>
    <definedName name="_1ESQ_MADEIRA">#N/A</definedName>
    <definedName name="_1Excel_BuiltIn__FilterDatabase_12_1">#REF!</definedName>
    <definedName name="_1Excel_BuiltIn_Print_Area_2_1">#REF!</definedName>
    <definedName name="_2">#REF!</definedName>
    <definedName name="_2_" hidden="1">#REF!</definedName>
    <definedName name="_2__123Graph_ACHART_1" hidden="1">#REF!</definedName>
    <definedName name="_2__123Graph_BCHART_1" hidden="1">#REF!</definedName>
    <definedName name="_21">#N/A</definedName>
    <definedName name="_21_Estrutura_Formas">#REF!</definedName>
    <definedName name="_22">#N/A</definedName>
    <definedName name="_22_Estrutura_Armação">#REF!</definedName>
    <definedName name="_23">#N/A</definedName>
    <definedName name="_23_Estrutura___Concreto">#REF!</definedName>
    <definedName name="_24_Estrutura___Empreitada">#REF!</definedName>
    <definedName name="_25.PREP.TERREN">#REF!</definedName>
    <definedName name="_25_Estrutura_metálica">#REF!</definedName>
    <definedName name="_27.FUND._ESCOR">#REF!</definedName>
    <definedName name="_28Excel_BuiltIn_Print_Titles_3_1">#REF!</definedName>
    <definedName name="_2ESQ_METÁL">#N/A</definedName>
    <definedName name="_2Excel_BuiltIn__FilterDatabase_12_1">#REF!</definedName>
    <definedName name="_2Excel_BuiltIn_Print_Area_1_1_1_1_1_1_1">#REF!</definedName>
    <definedName name="_2Excel_BuiltIn_Print_Area_3_1_1">#REF!</definedName>
    <definedName name="_3__123Graph_XCHART_1" hidden="1">#REF!</definedName>
    <definedName name="_31">#N/A</definedName>
    <definedName name="_31_32_33.C_A">#REF!</definedName>
    <definedName name="_31_Alvenaria_de_vedação">#REF!</definedName>
    <definedName name="_32">#N/A</definedName>
    <definedName name="_32_Drywall">#REF!</definedName>
    <definedName name="_33">#N/A</definedName>
    <definedName name="_33_Esquadrias_de_madeira">#REF!</definedName>
    <definedName name="_34">#N/A</definedName>
    <definedName name="_34_Esquadrias_de_aluminio">#REF!</definedName>
    <definedName name="_35">#N/A</definedName>
    <definedName name="_35_Esquadrias_de_ferro">#REF!</definedName>
    <definedName name="_36_Vidros">#REF!</definedName>
    <definedName name="_39Excel_BuiltIn_Print_Titles_4_1">#REF!</definedName>
    <definedName name="_3Excel_BuiltIn_Print_Area_2_1">#REF!</definedName>
    <definedName name="_3Excel_BuiltIn_Print_Area_3_1_1_1_1_1">#REF!</definedName>
    <definedName name="_3REV_PAREDES">#N/A</definedName>
    <definedName name="_4__123Graph_BCHART_1" hidden="1">#REF!</definedName>
    <definedName name="_41">#N/A</definedName>
    <definedName name="_41.ALVENARIA">#REF!</definedName>
    <definedName name="_41_Cobertura">#REF!</definedName>
    <definedName name="_42">#N/A</definedName>
    <definedName name="_42_Impermeabilizações_e_isolamentos">#REF!</definedName>
    <definedName name="_47.IMP._ISOLA.">#REF!</definedName>
    <definedName name="_4Excel_BuiltIn_Print_Area_3_1">#REF!</definedName>
    <definedName name="_4Excel_BuiltIn_Print_Area_3_1_1_1_1_1">#REF!</definedName>
    <definedName name="_4REV_PISOS">#N/A</definedName>
    <definedName name="_5.">#REF!</definedName>
    <definedName name="_5.1">#REF!</definedName>
    <definedName name="_5.1.1">#REF!</definedName>
    <definedName name="_5.1.2">#REF!</definedName>
    <definedName name="_5.1.3">#REF!</definedName>
    <definedName name="_5.1.4">#REF!</definedName>
    <definedName name="_5.1.5">#REF!</definedName>
    <definedName name="_5.2">#REF!</definedName>
    <definedName name="_5.2.1">#REF!</definedName>
    <definedName name="_5.2.2">#REF!</definedName>
    <definedName name="_5.2.3">#REF!</definedName>
    <definedName name="_5.3">#REF!</definedName>
    <definedName name="_5.3.1">#REF!</definedName>
    <definedName name="_5.3.2">#REF!</definedName>
    <definedName name="_5.4">#REF!</definedName>
    <definedName name="_5.4.1.">#REF!</definedName>
    <definedName name="_5.4.2">#REF!</definedName>
    <definedName name="_5.4.3">#REF!</definedName>
    <definedName name="_5.4.4">#REF!</definedName>
    <definedName name="_5.4.5">#REF!</definedName>
    <definedName name="_5.4.6">#REF!</definedName>
    <definedName name="_5.4.7">#REF!</definedName>
    <definedName name="_5.5">#REF!</definedName>
    <definedName name="_5.5.1">#REF!</definedName>
    <definedName name="_5.5.2">#REF!</definedName>
    <definedName name="_5.5.3">#REF!</definedName>
    <definedName name="_5.5.4">#REF!</definedName>
    <definedName name="_5.5.5">#REF!</definedName>
    <definedName name="_5.5.6">#REF!</definedName>
    <definedName name="_5.6">#REF!</definedName>
    <definedName name="_5.6.1">#REF!</definedName>
    <definedName name="_5.6.2">#REF!</definedName>
    <definedName name="_5.6.3">#REF!</definedName>
    <definedName name="_5.6.4">#REF!</definedName>
    <definedName name="_5.6.5">#REF!</definedName>
    <definedName name="_5.6.6">#REF!</definedName>
    <definedName name="_5.6_">#REF!</definedName>
    <definedName name="_5.7">#REF!</definedName>
    <definedName name="_5.8">#REF!</definedName>
    <definedName name="_5__123Graph_XCHART_1" hidden="1">#REF!</definedName>
    <definedName name="_5001">#REF!</definedName>
    <definedName name="_5002">#REF!</definedName>
    <definedName name="_5003">#REF!</definedName>
    <definedName name="_5004">#REF!</definedName>
    <definedName name="_5005">#REF!</definedName>
    <definedName name="_5006">#REF!</definedName>
    <definedName name="_5007">#REF!</definedName>
    <definedName name="_5008">#REF!</definedName>
    <definedName name="_5009">#REF!</definedName>
    <definedName name="_5010">#REF!</definedName>
    <definedName name="_5011">#REF!</definedName>
    <definedName name="_5012">#REF!</definedName>
    <definedName name="_5013">#REF!</definedName>
    <definedName name="_5014">#REF!</definedName>
    <definedName name="_5015">#REF!</definedName>
    <definedName name="_5016">#REF!</definedName>
    <definedName name="_5017">#REF!</definedName>
    <definedName name="_5018">#REF!</definedName>
    <definedName name="_5019">#REF!</definedName>
    <definedName name="_5020">#REF!</definedName>
    <definedName name="_5021">#REF!</definedName>
    <definedName name="_5022">#REF!</definedName>
    <definedName name="_5023">#REF!</definedName>
    <definedName name="_5024">#REF!</definedName>
    <definedName name="_5025">#REF!</definedName>
    <definedName name="_5026">#REF!</definedName>
    <definedName name="_5027">#REF!</definedName>
    <definedName name="_5028">#REF!</definedName>
    <definedName name="_5029">#REF!</definedName>
    <definedName name="_5030">#REF!</definedName>
    <definedName name="_5031">#REF!</definedName>
    <definedName name="_5032">#REF!</definedName>
    <definedName name="_5033">#REF!</definedName>
    <definedName name="_5034">#REF!</definedName>
    <definedName name="_5035">#REF!</definedName>
    <definedName name="_5036">#REF!</definedName>
    <definedName name="_5037">#REF!</definedName>
    <definedName name="_5038">#REF!</definedName>
    <definedName name="_5039">#REF!</definedName>
    <definedName name="_5040">#REF!</definedName>
    <definedName name="_5041">#REF!</definedName>
    <definedName name="_5042">#REF!</definedName>
    <definedName name="_5043">#REF!</definedName>
    <definedName name="_5044">#REF!</definedName>
    <definedName name="_5045">#REF!</definedName>
    <definedName name="_5046">#REF!</definedName>
    <definedName name="_5047">#REF!</definedName>
    <definedName name="_5048">#REF!</definedName>
    <definedName name="_5049">#REF!</definedName>
    <definedName name="_5050">#REF!</definedName>
    <definedName name="_5051">#REF!</definedName>
    <definedName name="_5052">#REF!</definedName>
    <definedName name="_5053">#REF!</definedName>
    <definedName name="_5054">#REF!</definedName>
    <definedName name="_5055">#REF!</definedName>
    <definedName name="_5056">#REF!</definedName>
    <definedName name="_5057">#REF!</definedName>
    <definedName name="_5058">#REF!</definedName>
    <definedName name="_5059">#REF!</definedName>
    <definedName name="_5060">#REF!</definedName>
    <definedName name="_5061">#REF!</definedName>
    <definedName name="_5062">#REF!</definedName>
    <definedName name="_5063">#REF!</definedName>
    <definedName name="_5064">#REF!</definedName>
    <definedName name="_5065">#REF!</definedName>
    <definedName name="_5066">#REF!</definedName>
    <definedName name="_5067">#REF!</definedName>
    <definedName name="_5068">#REF!</definedName>
    <definedName name="_5069">#REF!</definedName>
    <definedName name="_5070">#REF!</definedName>
    <definedName name="_5071">#REF!</definedName>
    <definedName name="_5072">#REF!</definedName>
    <definedName name="_5073">#REF!</definedName>
    <definedName name="_5074">#REF!</definedName>
    <definedName name="_5075">#REF!</definedName>
    <definedName name="_5076">#REF!</definedName>
    <definedName name="_5077">#REF!</definedName>
    <definedName name="_5078">#REF!</definedName>
    <definedName name="_5079">#REF!</definedName>
    <definedName name="_5080">#REF!</definedName>
    <definedName name="_5081">#REF!</definedName>
    <definedName name="_5082">#REF!</definedName>
    <definedName name="_5083">#REF!</definedName>
    <definedName name="_5084">#REF!</definedName>
    <definedName name="_5085">#REF!</definedName>
    <definedName name="_5086">#REF!</definedName>
    <definedName name="_5087">#REF!</definedName>
    <definedName name="_5088">#REF!</definedName>
    <definedName name="_5089">#REF!</definedName>
    <definedName name="_5090">#REF!</definedName>
    <definedName name="_5091">#REF!</definedName>
    <definedName name="_5092">#REF!</definedName>
    <definedName name="_5093">#REF!</definedName>
    <definedName name="_5094">#REF!</definedName>
    <definedName name="_5095">#REF!</definedName>
    <definedName name="_5096">#REF!</definedName>
    <definedName name="_5097">#REF!</definedName>
    <definedName name="_5098">#REF!</definedName>
    <definedName name="_5099">#REF!</definedName>
    <definedName name="_50Excel_BuiltIn_Print_Titles_5_1">#REF!</definedName>
    <definedName name="_51">#N/A</definedName>
    <definedName name="_51.REV.ARGAMAS">#REF!</definedName>
    <definedName name="_51_Revestimento_Contrapisos___Cimentados___Reg._Pavimentações_Int._e_Ext">#REF!</definedName>
    <definedName name="_5100">#REF!</definedName>
    <definedName name="_5101">#REF!</definedName>
    <definedName name="_5102">#REF!</definedName>
    <definedName name="_5103">#REF!</definedName>
    <definedName name="_5104">#REF!</definedName>
    <definedName name="_5105">#REF!</definedName>
    <definedName name="_5106">#REF!</definedName>
    <definedName name="_5107">#REF!</definedName>
    <definedName name="_5108">#REF!</definedName>
    <definedName name="_5109">#REF!</definedName>
    <definedName name="_5110">#REF!</definedName>
    <definedName name="_5111">#REF!</definedName>
    <definedName name="_5112">#REF!</definedName>
    <definedName name="_5113">#REF!</definedName>
    <definedName name="_5114">#REF!</definedName>
    <definedName name="_5115">#REF!</definedName>
    <definedName name="_5116">#REF!</definedName>
    <definedName name="_5117">#REF!</definedName>
    <definedName name="_5118">#REF!</definedName>
    <definedName name="_5119">#REF!</definedName>
    <definedName name="_5120">#REF!</definedName>
    <definedName name="_5121">#REF!</definedName>
    <definedName name="_5122">#REF!</definedName>
    <definedName name="_5123">#REF!</definedName>
    <definedName name="_5124">#REF!</definedName>
    <definedName name="_5125">#REF!</definedName>
    <definedName name="_5126">#REF!</definedName>
    <definedName name="_5127">#REF!</definedName>
    <definedName name="_5128">#REF!</definedName>
    <definedName name="_5129">#REF!</definedName>
    <definedName name="_5130">#REF!</definedName>
    <definedName name="_5131">#REF!</definedName>
    <definedName name="_5132">#REF!</definedName>
    <definedName name="_5133">#REF!</definedName>
    <definedName name="_5134">#REF!</definedName>
    <definedName name="_5135">#REF!</definedName>
    <definedName name="_5136">#REF!</definedName>
    <definedName name="_5137">#REF!</definedName>
    <definedName name="_5138">#REF!</definedName>
    <definedName name="_5139">#REF!</definedName>
    <definedName name="_5140">#REF!</definedName>
    <definedName name="_5141">#REF!</definedName>
    <definedName name="_5142">#REF!</definedName>
    <definedName name="_5143">#REF!</definedName>
    <definedName name="_5144">#REF!</definedName>
    <definedName name="_5145">#REF!</definedName>
    <definedName name="_5146">#REF!</definedName>
    <definedName name="_5147">#REF!</definedName>
    <definedName name="_5148">#REF!</definedName>
    <definedName name="_5149">#REF!</definedName>
    <definedName name="_5150">#REF!</definedName>
    <definedName name="_5151">#REF!</definedName>
    <definedName name="_5152">#REF!</definedName>
    <definedName name="_5153">#REF!</definedName>
    <definedName name="_5154">#REF!</definedName>
    <definedName name="_5155">#REF!</definedName>
    <definedName name="_5156">#REF!</definedName>
    <definedName name="_5157">#REF!</definedName>
    <definedName name="_5158">#REF!</definedName>
    <definedName name="_5159">#REF!</definedName>
    <definedName name="_5160">#REF!</definedName>
    <definedName name="_5161">#REF!</definedName>
    <definedName name="_5162">#REF!</definedName>
    <definedName name="_5163">#REF!</definedName>
    <definedName name="_5164">#REF!</definedName>
    <definedName name="_5165">#REF!</definedName>
    <definedName name="_5166">#REF!</definedName>
    <definedName name="_5167">#REF!</definedName>
    <definedName name="_5168">#REF!</definedName>
    <definedName name="_5169">#REF!</definedName>
    <definedName name="_5170">#REF!</definedName>
    <definedName name="_5171">#REF!</definedName>
    <definedName name="_5172">#REF!</definedName>
    <definedName name="_5173">#REF!</definedName>
    <definedName name="_5174">#REF!</definedName>
    <definedName name="_5175">#REF!</definedName>
    <definedName name="_5176">#REF!</definedName>
    <definedName name="_5177">#REF!</definedName>
    <definedName name="_5178">#REF!</definedName>
    <definedName name="_5179">#REF!</definedName>
    <definedName name="_5180">#REF!</definedName>
    <definedName name="_5181">#REF!</definedName>
    <definedName name="_5182">#REF!</definedName>
    <definedName name="_5183">#REF!</definedName>
    <definedName name="_5184">#REF!</definedName>
    <definedName name="_5185">#REF!</definedName>
    <definedName name="_5186">#REF!</definedName>
    <definedName name="_5187">#REF!</definedName>
    <definedName name="_5188">#REF!</definedName>
    <definedName name="_5189">#REF!</definedName>
    <definedName name="_5190">#REF!</definedName>
    <definedName name="_5191">#REF!</definedName>
    <definedName name="_5192">#REF!</definedName>
    <definedName name="_5193">#REF!</definedName>
    <definedName name="_5194">#REF!</definedName>
    <definedName name="_5195">#REF!</definedName>
    <definedName name="_5196">#REF!</definedName>
    <definedName name="_5197">#REF!</definedName>
    <definedName name="_5198">#REF!</definedName>
    <definedName name="_5199">#REF!</definedName>
    <definedName name="_52">#N/A</definedName>
    <definedName name="_52.REV.CERAM.I">#REF!</definedName>
    <definedName name="_52_Revestimento_interno_teto_e_parede">#REF!</definedName>
    <definedName name="_5200">#REF!</definedName>
    <definedName name="_5201">#REF!</definedName>
    <definedName name="_5202">#REF!</definedName>
    <definedName name="_5203">#REF!</definedName>
    <definedName name="_5204">#REF!</definedName>
    <definedName name="_5205">#REF!</definedName>
    <definedName name="_5206">#REF!</definedName>
    <definedName name="_5207">#REF!</definedName>
    <definedName name="_5208">#REF!</definedName>
    <definedName name="_5209">#REF!</definedName>
    <definedName name="_5210">#REF!</definedName>
    <definedName name="_5211">#REF!</definedName>
    <definedName name="_5212">#REF!</definedName>
    <definedName name="_5213">#REF!</definedName>
    <definedName name="_5214">#REF!</definedName>
    <definedName name="_5215">#REF!</definedName>
    <definedName name="_5216">#REF!</definedName>
    <definedName name="_5217">#REF!</definedName>
    <definedName name="_5218">#REF!</definedName>
    <definedName name="_5219">#REF!</definedName>
    <definedName name="_5220">#REF!</definedName>
    <definedName name="_5221">#REF!</definedName>
    <definedName name="_5222">#REF!</definedName>
    <definedName name="_5223">#REF!</definedName>
    <definedName name="_5224">#REF!</definedName>
    <definedName name="_5225">#REF!</definedName>
    <definedName name="_5226">#REF!</definedName>
    <definedName name="_5227">#REF!</definedName>
    <definedName name="_5228">#REF!</definedName>
    <definedName name="_5229">#REF!</definedName>
    <definedName name="_5230">#REF!</definedName>
    <definedName name="_5231">#REF!</definedName>
    <definedName name="_5232">#REF!</definedName>
    <definedName name="_5233">#REF!</definedName>
    <definedName name="_5234">#REF!</definedName>
    <definedName name="_5235">#REF!</definedName>
    <definedName name="_5236">#REF!</definedName>
    <definedName name="_5237">#REF!</definedName>
    <definedName name="_5238">#REF!</definedName>
    <definedName name="_5239">#REF!</definedName>
    <definedName name="_5240">#REF!</definedName>
    <definedName name="_5241">#REF!</definedName>
    <definedName name="_5242">#REF!</definedName>
    <definedName name="_5243">#REF!</definedName>
    <definedName name="_5244">#REF!</definedName>
    <definedName name="_5245">#REF!</definedName>
    <definedName name="_5246">#REF!</definedName>
    <definedName name="_5247">#REF!</definedName>
    <definedName name="_5248">#REF!</definedName>
    <definedName name="_5249">#REF!</definedName>
    <definedName name="_5250">#REF!</definedName>
    <definedName name="_5251">#REF!</definedName>
    <definedName name="_5252">#REF!</definedName>
    <definedName name="_5253">#REF!</definedName>
    <definedName name="_5254">#REF!</definedName>
    <definedName name="_5255">#REF!</definedName>
    <definedName name="_5256">#REF!</definedName>
    <definedName name="_5257">#REF!</definedName>
    <definedName name="_5258">#REF!</definedName>
    <definedName name="_5259">#REF!</definedName>
    <definedName name="_5260">#REF!</definedName>
    <definedName name="_5261">#REF!</definedName>
    <definedName name="_5262">#REF!</definedName>
    <definedName name="_5263">#REF!</definedName>
    <definedName name="_5264">#REF!</definedName>
    <definedName name="_5265">#REF!</definedName>
    <definedName name="_5266">#REF!</definedName>
    <definedName name="_5267">#REF!</definedName>
    <definedName name="_5268">#REF!</definedName>
    <definedName name="_5269">#REF!</definedName>
    <definedName name="_5270">#REF!</definedName>
    <definedName name="_5271">#REF!</definedName>
    <definedName name="_5272">#REF!</definedName>
    <definedName name="_5273">#REF!</definedName>
    <definedName name="_5274">#REF!</definedName>
    <definedName name="_5275">#REF!</definedName>
    <definedName name="_5276">#REF!</definedName>
    <definedName name="_5277">#REF!</definedName>
    <definedName name="_5278">#REF!</definedName>
    <definedName name="_5279">#REF!</definedName>
    <definedName name="_5280">#REF!</definedName>
    <definedName name="_5281">#REF!</definedName>
    <definedName name="_5282">#REF!</definedName>
    <definedName name="_5283">#REF!</definedName>
    <definedName name="_5284">#REF!</definedName>
    <definedName name="_5285">#REF!</definedName>
    <definedName name="_5286">#REF!</definedName>
    <definedName name="_5287">#REF!</definedName>
    <definedName name="_5288">#REF!</definedName>
    <definedName name="_5289">#REF!</definedName>
    <definedName name="_5290">#REF!</definedName>
    <definedName name="_5291">#REF!</definedName>
    <definedName name="_5292">#REF!</definedName>
    <definedName name="_5293">#REF!</definedName>
    <definedName name="_5294">#REF!</definedName>
    <definedName name="_5295">#REF!</definedName>
    <definedName name="_5296">#REF!</definedName>
    <definedName name="_5297">#REF!</definedName>
    <definedName name="_5298">#REF!</definedName>
    <definedName name="_5299">#REF!</definedName>
    <definedName name="_53">#N/A</definedName>
    <definedName name="_53.REV.CERAM.E">#REF!</definedName>
    <definedName name="_53_Forros">#REF!</definedName>
    <definedName name="_5300">#REF!</definedName>
    <definedName name="_5301">#REF!</definedName>
    <definedName name="_5302">#REF!</definedName>
    <definedName name="_5303">#REF!</definedName>
    <definedName name="_5304">#REF!</definedName>
    <definedName name="_5305">#REF!</definedName>
    <definedName name="_5306">#REF!</definedName>
    <definedName name="_5307">#REF!</definedName>
    <definedName name="_5308">#REF!</definedName>
    <definedName name="_5309">#REF!</definedName>
    <definedName name="_5310">#REF!</definedName>
    <definedName name="_5311">#REF!</definedName>
    <definedName name="_5312">#REF!</definedName>
    <definedName name="_5314">#REF!</definedName>
    <definedName name="_5315">#REF!</definedName>
    <definedName name="_5316">#REF!</definedName>
    <definedName name="_5317">#REF!</definedName>
    <definedName name="_5318">#REF!</definedName>
    <definedName name="_5319">#REF!</definedName>
    <definedName name="_5320">#REF!</definedName>
    <definedName name="_5321">#REF!</definedName>
    <definedName name="_5322">#REF!</definedName>
    <definedName name="_5323">#REF!</definedName>
    <definedName name="_5324">#REF!</definedName>
    <definedName name="_5325">#REF!</definedName>
    <definedName name="_5326">#REF!</definedName>
    <definedName name="_5327">#REF!</definedName>
    <definedName name="_5328">#REF!</definedName>
    <definedName name="_5329">#REF!</definedName>
    <definedName name="_5330">#REF!</definedName>
    <definedName name="_5331">#REF!</definedName>
    <definedName name="_5332">#REF!</definedName>
    <definedName name="_5333">#REF!</definedName>
    <definedName name="_5334">#REF!</definedName>
    <definedName name="_5335">#REF!</definedName>
    <definedName name="_5336">#REF!</definedName>
    <definedName name="_5337">#REF!</definedName>
    <definedName name="_5338">#REF!</definedName>
    <definedName name="_5339">#REF!</definedName>
    <definedName name="_5340">#REF!</definedName>
    <definedName name="_5341">#REF!</definedName>
    <definedName name="_5342">#REF!</definedName>
    <definedName name="_5343">#REF!</definedName>
    <definedName name="_5344">#REF!</definedName>
    <definedName name="_5345">#REF!</definedName>
    <definedName name="_5346">#REF!</definedName>
    <definedName name="_5347">#REF!</definedName>
    <definedName name="_5348">#REF!</definedName>
    <definedName name="_5349">#REF!</definedName>
    <definedName name="_5350">#REF!</definedName>
    <definedName name="_5351">#REF!</definedName>
    <definedName name="_5352">#REF!</definedName>
    <definedName name="_5353">#REF!</definedName>
    <definedName name="_5354">#REF!</definedName>
    <definedName name="_5355">#REF!</definedName>
    <definedName name="_5356">#REF!</definedName>
    <definedName name="_5357">#REF!</definedName>
    <definedName name="_5358">#REF!</definedName>
    <definedName name="_5359">#REF!</definedName>
    <definedName name="_5360">#REF!</definedName>
    <definedName name="_5361">#REF!</definedName>
    <definedName name="_5362">#REF!</definedName>
    <definedName name="_5363">#REF!</definedName>
    <definedName name="_5364">#REF!</definedName>
    <definedName name="_5365">#REF!</definedName>
    <definedName name="_5366">#REF!</definedName>
    <definedName name="_5367">#REF!</definedName>
    <definedName name="_5368">#REF!</definedName>
    <definedName name="_5369">#REF!</definedName>
    <definedName name="_5370">#REF!</definedName>
    <definedName name="_5371">#REF!</definedName>
    <definedName name="_5372">#REF!</definedName>
    <definedName name="_5373">#REF!</definedName>
    <definedName name="_5374">#REF!</definedName>
    <definedName name="_5375">#REF!</definedName>
    <definedName name="_5376">#REF!</definedName>
    <definedName name="_5377">#REF!</definedName>
    <definedName name="_5378">#REF!</definedName>
    <definedName name="_5379">#REF!</definedName>
    <definedName name="_5380">#REF!</definedName>
    <definedName name="_5381">#REF!</definedName>
    <definedName name="_5382">#REF!</definedName>
    <definedName name="_5383">#REF!</definedName>
    <definedName name="_5384">#REF!</definedName>
    <definedName name="_54">#N/A</definedName>
    <definedName name="_54.TACOS_E_ASS">#REF!</definedName>
    <definedName name="_54_Revestimento_externo">#REF!</definedName>
    <definedName name="_55">#N/A</definedName>
    <definedName name="_55.MARM._E_GRA">#REF!</definedName>
    <definedName name="_56">#N/A</definedName>
    <definedName name="_56.MARMORITE">#REF!</definedName>
    <definedName name="_57">#N/A</definedName>
    <definedName name="_58">#N/A</definedName>
    <definedName name="_59.OUTRS_REVES">#REF!</definedName>
    <definedName name="_5Excel_BuiltIn_Print_Area_3_1">#REF!</definedName>
    <definedName name="_61">#N/A</definedName>
    <definedName name="_61.ESQUAD._MAD">#REF!</definedName>
    <definedName name="_61_Acabamento_cerâmico_torre_e_area_comum">#REF!</definedName>
    <definedName name="_61Excel_BuiltIn_Print_Titles_6_1">#REF!</definedName>
    <definedName name="_62">#N/A</definedName>
    <definedName name="_62_Marmores_e_granitos">#REF!</definedName>
    <definedName name="_63">#N/A</definedName>
    <definedName name="_63.ESQUAD._ALU">#REF!</definedName>
    <definedName name="_63_Madeira">#REF!</definedName>
    <definedName name="_64">#N/A</definedName>
    <definedName name="_64_Outros_Revestimentos_de_Piso">#REF!</definedName>
    <definedName name="_65.ESQUAD._FER">#REF!</definedName>
    <definedName name="_65_Outros_revestimentos_de_parede">#REF!</definedName>
    <definedName name="_66_Outros_revestimentos_de_fachada">#REF!</definedName>
    <definedName name="_67.VIDROS">#REF!</definedName>
    <definedName name="_6Excel_BuiltIn_Print_Area_3_1_1_1_1_1">#REF!</definedName>
    <definedName name="_70_Pintura_e_limpeza">#REF!</definedName>
    <definedName name="_71">#N/A</definedName>
    <definedName name="_71_73.I.ELET_H">#REF!</definedName>
    <definedName name="_71_Instalações_elétricas">#REF!</definedName>
    <definedName name="_72">#N/A</definedName>
    <definedName name="_72_Instalações_hidraulicas">#REF!</definedName>
    <definedName name="_72Excel_BuiltIn_Print_Titles_7_1">#REF!</definedName>
    <definedName name="_73">#N/A</definedName>
    <definedName name="_73_Aparelhos_de_banho__cozinha_e_serviços">#REF!</definedName>
    <definedName name="_74">#N/A</definedName>
    <definedName name="_74_Ar_Condicionado_e_exaustão">#REF!</definedName>
    <definedName name="_75">#N/A</definedName>
    <definedName name="_77.OUTRAS_INST.">#REF!</definedName>
    <definedName name="_78.ELEVADORES">#REF!</definedName>
    <definedName name="_7Excel_BuiltIn_Print_Area_4_1">#REF!</definedName>
    <definedName name="_81">#N/A</definedName>
    <definedName name="_81.APAR._SANIT">#REF!</definedName>
    <definedName name="_81_Elevadores">#REF!</definedName>
    <definedName name="_82">#N/A</definedName>
    <definedName name="_82_Outras_instalações">#REF!</definedName>
    <definedName name="_83">#N/A</definedName>
    <definedName name="_83_85.PINT_LIM">#REF!</definedName>
    <definedName name="_83_Acabamento_e_decoração">#REF!</definedName>
    <definedName name="_83Excel_BuiltIn_Print_Titles_9_1">#REF!</definedName>
    <definedName name="_84">#N/A</definedName>
    <definedName name="_84_Despesas_legais">#REF!</definedName>
    <definedName name="_8Excel_BuiltIn_Print_Area_4_1">#REF!</definedName>
    <definedName name="_8Excel_BuiltIn_Print_Area_5_1">#REF!</definedName>
    <definedName name="_91">#N/A</definedName>
    <definedName name="_91_Equipe_da_obra">#REF!</definedName>
    <definedName name="_92">#N/A</definedName>
    <definedName name="_92_Entrega_e_revisão_de_obra">#REF!</definedName>
    <definedName name="_93">#N/A</definedName>
    <definedName name="_94">#N/A</definedName>
    <definedName name="_9Excel_BuiltIn_Print_Area_6_1">#REF!</definedName>
    <definedName name="_A">#REF!</definedName>
    <definedName name="_a_1">#REF!</definedName>
    <definedName name="_a_2">#REF!</definedName>
    <definedName name="_a_5">#REF!</definedName>
    <definedName name="_a_6">#REF!</definedName>
    <definedName name="_a_7">#REF!</definedName>
    <definedName name="_A1">#REF!</definedName>
    <definedName name="_aaa1">#REF!</definedName>
    <definedName name="_aaa2">#REF!</definedName>
    <definedName name="_ABR95">#REF!</definedName>
    <definedName name="_ABR96">#REF!</definedName>
    <definedName name="_ABR97">#REF!</definedName>
    <definedName name="_ABR98">#REF!</definedName>
    <definedName name="_ABR99">#REF!</definedName>
    <definedName name="_ACR10">#REF!</definedName>
    <definedName name="_ACR15">#REF!</definedName>
    <definedName name="_acr20">#REF!</definedName>
    <definedName name="_acr5">#REF!</definedName>
    <definedName name="_AEC2" hidden="1">{#N/A,#N/A,FALSE,"Profit Status";#N/A,#N/A,FALSE,"Invest";#N/A,#N/A,FALSE,"Revenue";#N/A,#N/A,FALSE,"Variable Cost";#N/A,#N/A,FALSE,"Options &amp; Series"}</definedName>
    <definedName name="_AGO95">#REF!</definedName>
    <definedName name="_AGO96">#REF!</definedName>
    <definedName name="_AGO97">#REF!</definedName>
    <definedName name="_AGO98">#REF!</definedName>
    <definedName name="_AGO99">#REF!</definedName>
    <definedName name="_apf1">#REF!</definedName>
    <definedName name="_ARQ1">#REF!</definedName>
    <definedName name="_AUX1">#REF!</definedName>
    <definedName name="_aux13">#REF!</definedName>
    <definedName name="_aux2">#REF!</definedName>
    <definedName name="_aux9000">#REF!</definedName>
    <definedName name="_b">#REF!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se1">#REF!</definedName>
    <definedName name="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I1">#REF!</definedName>
    <definedName name="_blk3" hidden="1">{"sheet1",#N/A,FALSE,"easheet";"sheet2a",#N/A,FALSE,"easheet";"sheet2b",#N/A,FALSE,"easheet";"sheet3",#N/A,FALSE,"easheet"}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S1" hidden="1">{#N/A,#N/A,FALSE,"부대1"}</definedName>
    <definedName name="_Builtin13" hidden="1">#REF!</definedName>
    <definedName name="_c">#REF!</definedName>
    <definedName name="_cab1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compila">#REF!</definedName>
    <definedName name="_CONFERÊNCIA">#REF!</definedName>
    <definedName name="_Cor1">#REF!</definedName>
    <definedName name="_Cor2">#REF!</definedName>
    <definedName name="_cpf1">#REF!</definedName>
    <definedName name="_CPP21">#REF!</definedName>
    <definedName name="_CPR24">#REF!</definedName>
    <definedName name="_CPU04">#REF!</definedName>
    <definedName name="_CPU10">#REF!</definedName>
    <definedName name="_CPU2">#REF!</definedName>
    <definedName name="_CPU3">#REF!</definedName>
    <definedName name="_CRR01">#REF!</definedName>
    <definedName name="_CRR2">#REF!</definedName>
    <definedName name="_CRR3">#REF!</definedName>
    <definedName name="_CRR7">#REF!</definedName>
    <definedName name="_CTD1">#REF!</definedName>
    <definedName name="_CTT3">#REF!</definedName>
    <definedName name="_CUB01">#REF!</definedName>
    <definedName name="_DEZ94">#REF!</definedName>
    <definedName name="_DEZ95">#REF!</definedName>
    <definedName name="_DEZ96">#REF!</definedName>
    <definedName name="_DEZ97">#REF!</definedName>
    <definedName name="_DEZ98">#REF!</definedName>
    <definedName name="_DEZ99">#REF!</definedName>
    <definedName name="_dre1">#REF!</definedName>
    <definedName name="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EAP_OMISSOS">#REF!</definedName>
    <definedName name="_EAP_PADRAO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EV95">#REF!</definedName>
    <definedName name="_FEV96">#REF!</definedName>
    <definedName name="_FEV97">#REF!</definedName>
    <definedName name="_FEV98">#REF!</definedName>
    <definedName name="_FEV99">#REF!</definedName>
    <definedName name="_Fill" hidden="1">#REF!</definedName>
    <definedName name="_fill1" hidden="1">#REF!</definedName>
    <definedName name="_filll" hidden="1">#REF!</definedName>
    <definedName name="_xlnm._FilterDatabase" hidden="1">#REF!</definedName>
    <definedName name="_Fl4" hidden="1">{#N/A,#N/A,FALSE,"ET-CAPA";#N/A,#N/A,FALSE,"ET-PAG1";#N/A,#N/A,FALSE,"ET-PAG2";#N/A,#N/A,FALSE,"ET-PAG3";#N/A,#N/A,FALSE,"ET-PAG4";#N/A,#N/A,FALSE,"ET-PAG5"}</definedName>
    <definedName name="_FOL" hidden="1">#REF!</definedName>
    <definedName name="_For01">#REF!</definedName>
    <definedName name="_GLB2">#REF!</definedName>
    <definedName name="_hel11">#REF!</definedName>
    <definedName name="_hlc25">#REF!</definedName>
    <definedName name="_hlc30">#REF!</definedName>
    <definedName name="_hlc35">#REF!</definedName>
    <definedName name="_hlc40">#REF!</definedName>
    <definedName name="_hlc50">#REF!</definedName>
    <definedName name="_hlc60">#REF!</definedName>
    <definedName name="_hlc70">#REF!</definedName>
    <definedName name="_hlc80">#REF!</definedName>
    <definedName name="_hlc90">#REF!</definedName>
    <definedName name="_i3">#REF!</definedName>
    <definedName name="_ibc7" hidden="1">#REF!</definedName>
    <definedName name="_int01">#REF!</definedName>
    <definedName name="_int02">#REF!</definedName>
    <definedName name="_int03">#REF!</definedName>
    <definedName name="_int04">#REF!</definedName>
    <definedName name="_int05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JAN95">#REF!</definedName>
    <definedName name="_JAN96">#REF!</definedName>
    <definedName name="_JAN97">#REF!</definedName>
    <definedName name="_JAN98">#REF!</definedName>
    <definedName name="_JAN99">#REF!</definedName>
    <definedName name="_jkhjk" hidden="1">{#N/A,#N/A,FALSE,"Bericht 2";#N/A,#N/A,FALSE,"Bericht 3";#N/A,#N/A,FALSE,"Bericht 1"}</definedName>
    <definedName name="_jkhjk1" hidden="1">{#N/A,#N/A,FALSE,"Bericht 2";#N/A,#N/A,FALSE,"Bericht 3";#N/A,#N/A,FALSE,"Bericht 1"}</definedName>
    <definedName name="_JUL95">#REF!</definedName>
    <definedName name="_JUL96">#REF!</definedName>
    <definedName name="_JUL97">#REF!</definedName>
    <definedName name="_JUL98">#REF!</definedName>
    <definedName name="_JUL99">#REF!</definedName>
    <definedName name="_JUN95">#REF!</definedName>
    <definedName name="_JUN96">#REF!</definedName>
    <definedName name="_JUN97">#REF!</definedName>
    <definedName name="_JUN98">#REF!</definedName>
    <definedName name="_JUN99">#REF!</definedName>
    <definedName name="_Key1" hidden="1">#REF!</definedName>
    <definedName name="_Key11" hidden="1">#REF!</definedName>
    <definedName name="_Key2" hidden="1">#REF!</definedName>
    <definedName name="_l">#REF!</definedName>
    <definedName name="_la29" hidden="1">#REF!</definedName>
    <definedName name="_la3" hidden="1">#REF!</definedName>
    <definedName name="_la30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6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lim01">#REF!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p052010">#REF!</definedName>
    <definedName name="_MA0001">#REF!</definedName>
    <definedName name="_MAI95">#REF!</definedName>
    <definedName name="_MAI96">#REF!</definedName>
    <definedName name="_MAI97">#REF!</definedName>
    <definedName name="_MAI98">#REF!</definedName>
    <definedName name="_MAI99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R95">#REF!</definedName>
    <definedName name="_MAR96">#REF!</definedName>
    <definedName name="_MAR97">#REF!</definedName>
    <definedName name="_MAR98">#REF!</definedName>
    <definedName name="_MAR99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Inverse_Out" hidden="1">#REF!</definedName>
    <definedName name="_MatMult_A" hidden="1">#REF!</definedName>
    <definedName name="_MatMult_AxB" hidden="1">#REF!</definedName>
    <definedName name="_MCC3" hidden="1">{#N/A,#N/A,FALSE,"CCTV"}</definedName>
    <definedName name="_MLH1">#REF!</definedName>
    <definedName name="_MLH2">#REF!</definedName>
    <definedName name="_MLH3">#REF!</definedName>
    <definedName name="_MM" hidden="1">#REF!</definedName>
    <definedName name="_MO0001">#REF!</definedName>
    <definedName name="_MO0002">#REF!</definedName>
    <definedName name="_MO0003">#REF!</definedName>
    <definedName name="_MO0004">#REF!</definedName>
    <definedName name="_MO1">#REF!</definedName>
    <definedName name="_n1" hidden="1">{#N/A,#N/A,FALSE,"Ejector 1";#N/A,#N/A,FALSE,"Ejector 2"}</definedName>
    <definedName name="_n2" hidden="1">{#N/A,#N/A,FALSE,"Ejector 1";#N/A,#N/A,FALSE,"Ejector 2"}</definedName>
    <definedName name="_n3" hidden="1">{#N/A,#N/A,FALSE,"Ejector 1";#N/A,#N/A,FALSE,"Ejector 2"}</definedName>
    <definedName name="_n4" hidden="1">{#N/A,#N/A,FALSE,"Ejector 1";#N/A,#N/A,FALSE,"Ejector 2"}</definedName>
    <definedName name="_NOV94">#REF!</definedName>
    <definedName name="_NOV95">#REF!</definedName>
    <definedName name="_NOV96">#REF!</definedName>
    <definedName name="_NOV97">#REF!</definedName>
    <definedName name="_NOV98">#REF!</definedName>
    <definedName name="_NOV99">#REF!</definedName>
    <definedName name="_oae1">#REF!</definedName>
    <definedName name="_OR1">#REF!</definedName>
    <definedName name="_OR12">#REF!</definedName>
    <definedName name="_OR13">#REF!</definedName>
    <definedName name="_OR14">#REF!</definedName>
    <definedName name="_OR15">#REF!</definedName>
    <definedName name="_OR16">#REF!</definedName>
    <definedName name="_OR17">#REF!</definedName>
    <definedName name="_OR18">#REF!</definedName>
    <definedName name="_OR19">#REF!</definedName>
    <definedName name="_OR2">#REF!</definedName>
    <definedName name="_OR3">#REF!</definedName>
    <definedName name="_OR4">#REF!</definedName>
    <definedName name="_OR5">#REF!</definedName>
    <definedName name="_OR6">#REF!</definedName>
    <definedName name="_OR7">#REF!</definedName>
    <definedName name="_OR8">#REF!</definedName>
    <definedName name="_OR9">#REF!</definedName>
    <definedName name="_Order1" hidden="1">255</definedName>
    <definedName name="_Order2" hidden="1">0</definedName>
    <definedName name="_ordr2" hidden="1">0</definedName>
    <definedName name="_ordwre2" hidden="1">0</definedName>
    <definedName name="_OUT94">#REF!</definedName>
    <definedName name="_OUT95">#REF!</definedName>
    <definedName name="_OUT96">#REF!</definedName>
    <definedName name="_OUT97">#REF!</definedName>
    <definedName name="_OUT98">#REF!</definedName>
    <definedName name="_OUT99">#REF!</definedName>
    <definedName name="_Parse_In" hidden="1">#REF!</definedName>
    <definedName name="_Parse_Out" hidden="1">#REF!</definedName>
    <definedName name="_pav1">#REF!</definedName>
    <definedName name="_PK2" hidden="1">{"'장비'!$A$3:$M$12"}</definedName>
    <definedName name="_PKG3" hidden="1">{"'장비'!$A$3:$M$12"}</definedName>
    <definedName name="_POS21">#REF!</definedName>
    <definedName name="_PPU1" hidden="1">{#N/A,#N/A,FALSE,"Cronograma";#N/A,#N/A,FALSE,"Cronogr. 2"}</definedName>
    <definedName name="_ppu2" hidden="1">{#N/A,#N/A,FALSE,"Cronograma";#N/A,#N/A,FALSE,"Cronogr. 2"}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UMODISTORÇOES">#REF!</definedName>
    <definedName name="_RET1">#REF!</definedName>
    <definedName name="_rev1">#REF!</definedName>
    <definedName name="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S" hidden="1">#N/A</definedName>
    <definedName name="_sda" hidden="1">#REF!</definedName>
    <definedName name="_SE2">#REF!</definedName>
    <definedName name="_seg1">#REF!</definedName>
    <definedName name="_seguro">#REF!</definedName>
    <definedName name="_SET94">#REF!</definedName>
    <definedName name="_SET95">#REF!</definedName>
    <definedName name="_SET96">#REF!</definedName>
    <definedName name="_SET97">#REF!</definedName>
    <definedName name="_SET98">#REF!</definedName>
    <definedName name="_SET99">#REF!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ih1">#REF!</definedName>
    <definedName name="_siv1">#REF!</definedName>
    <definedName name="_Sort" hidden="1">#REF!</definedName>
    <definedName name="_SS" hidden="1">#N/A</definedName>
    <definedName name="_svi2">#REF!</definedName>
    <definedName name="_T">#REF!</definedName>
    <definedName name="_tab0198">#REF!</definedName>
    <definedName name="_tab1">#REF!</definedName>
    <definedName name="_Table1_In1" hidden="1">#REF!</definedName>
    <definedName name="_Table1_Out" hidden="1">#REF!</definedName>
    <definedName name="_TT102">#REF!</definedName>
    <definedName name="_TT107">#REF!</definedName>
    <definedName name="_TT121">#REF!</definedName>
    <definedName name="_TT123">#REF!</definedName>
    <definedName name="_TT19">#REF!</definedName>
    <definedName name="_TT20">#REF!</definedName>
    <definedName name="_TT21">#REF!</definedName>
    <definedName name="_TT22">#REF!</definedName>
    <definedName name="_TT26">#REF!</definedName>
    <definedName name="_TT27">#REF!</definedName>
    <definedName name="_TT28">#REF!</definedName>
    <definedName name="_TT30">#REF!</definedName>
    <definedName name="_TT31">#REF!</definedName>
    <definedName name="_TT32">#REF!</definedName>
    <definedName name="_TT33">#REF!</definedName>
    <definedName name="_TT34">#REF!</definedName>
    <definedName name="_TT36">#REF!</definedName>
    <definedName name="_TT37">#REF!</definedName>
    <definedName name="_TT38">#REF!</definedName>
    <definedName name="_TT39">#REF!</definedName>
    <definedName name="_TT40">#REF!</definedName>
    <definedName name="_TT5">#REF!</definedName>
    <definedName name="_TT52">#REF!</definedName>
    <definedName name="_TT53">#REF!</definedName>
    <definedName name="_TT54">#REF!</definedName>
    <definedName name="_TT55">#REF!</definedName>
    <definedName name="_TT6">#REF!</definedName>
    <definedName name="_TT60">#REF!</definedName>
    <definedName name="_TT61">#REF!</definedName>
    <definedName name="_TT69">#REF!</definedName>
    <definedName name="_TT7">#REF!</definedName>
    <definedName name="_TT70">#REF!</definedName>
    <definedName name="_TT71">#REF!</definedName>
    <definedName name="_TT74">#REF!</definedName>
    <definedName name="_TT75">#REF!</definedName>
    <definedName name="_TT76">#REF!</definedName>
    <definedName name="_TT77">#REF!</definedName>
    <definedName name="_TT78">#REF!</definedName>
    <definedName name="_TT79">#REF!</definedName>
    <definedName name="_TT94">#REF!</definedName>
    <definedName name="_TT95">#REF!</definedName>
    <definedName name="_TT97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_VAX1">#REF!</definedName>
    <definedName name="_VAX2">#REF!</definedName>
    <definedName name="_VRL1">#REF!</definedName>
    <definedName name="_VRL2">#REF!</definedName>
    <definedName name="_VRL3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nm_Print_Titles">#REF!</definedName>
    <definedName name="_z">#REF!</definedName>
    <definedName name="´cAE°eE¹" hidden="1">#REF!</definedName>
    <definedName name="￠￥cAE¡ÆeEⓒo" hidden="1">#REF!</definedName>
    <definedName name="a">#REF!</definedName>
    <definedName name="A_5">#REF!</definedName>
    <definedName name="A_6">#REF!</definedName>
    <definedName name="A_HaulCost_HaulCostCalculator">#REF!</definedName>
    <definedName name="a33333333" hidden="1">#REF!</definedName>
    <definedName name="aa">#REF!</definedName>
    <definedName name="aaa" hidden="1">{#N/A,#N/A,FALSE,"Plan1";#N/A,#N/A,FALSE,"Plan2"}</definedName>
    <definedName name="aaaa" hidden="1">#REF!</definedName>
    <definedName name="aaaa1" hidden="1">{#N/A,#N/A,TRUE,"Basic";#N/A,#N/A,TRUE,"EXT-TABLE";#N/A,#N/A,TRUE,"STEEL";#N/A,#N/A,TRUE,"INT-Table";#N/A,#N/A,TRUE,"STEEL";#N/A,#N/A,TRUE,"Door"}</definedName>
    <definedName name="aaaaa" hidden="1">{"tabela",#N/A,FALSE,"Tabela";"decoração",#N/A,FALSE,"Decor.";"Informações",#N/A,FALSE,"Inform."}</definedName>
    <definedName name="aa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hidden="1">{#N/A,#N/A,FALSE,"Plan1";#N/A,#N/A,FALSE,"Plan2"}</definedName>
    <definedName name="aaafff" hidden="1">{"'장비'!$A$3:$M$12"}</definedName>
    <definedName name="AB">#REF!</definedName>
    <definedName name="ABC">#REF!</definedName>
    <definedName name="ABC_SERV_2">#REF!</definedName>
    <definedName name="ABCINS">#REF!</definedName>
    <definedName name="abcpiloto">#REF!</definedName>
    <definedName name="abebqt">#REF!</definedName>
    <definedName name="abr">#REF!</definedName>
    <definedName name="ABR00">#REF!</definedName>
    <definedName name="_xlnm.Auto_Open">#REF!</definedName>
    <definedName name="AC">#REF!</definedName>
    <definedName name="ACAB">#REF!</definedName>
    <definedName name="ACADUC">#REF!</definedName>
    <definedName name="ACBEB">#REF!</definedName>
    <definedName name="ACBOMB">#REF!</definedName>
    <definedName name="Access_Button" hidden="1">"PJTFINAL_F02F11_List"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CN.FRM">#REF!</definedName>
    <definedName name="ACOMP">#REF!</definedName>
    <definedName name="ACONT2">#REF!</definedName>
    <definedName name="ACPIPA">#REF!</definedName>
    <definedName name="ACR">#REF!</definedName>
    <definedName name="Acresc">#REF!</definedName>
    <definedName name="Acrs_juros">#REF!</definedName>
    <definedName name="ACS.FRM">#REF!</definedName>
    <definedName name="ACTRANSP">#REF!</definedName>
    <definedName name="Acum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{#N/A,#N/A,FALSE,"ET-CAPA";#N/A,#N/A,FALSE,"ET-PAG1";#N/A,#N/A,FALSE,"ET-PAG2";#N/A,#N/A,FALSE,"ET-PAG3";#N/A,#N/A,FALSE,"ET-PAG4";#N/A,#N/A,FALSE,"ET-PAG5"}</definedName>
    <definedName name="Ad_EN">#REF!</definedName>
    <definedName name="ADAFQA" hidden="1">{"sheet1",#N/A,FALSE,"easheet";"sheet2a",#N/A,FALSE,"easheet";"sheet2b",#N/A,FALSE,"easheet";"sheet3",#N/A,FALSE,"easheet"}</definedName>
    <definedName name="Addtolist">#REF!</definedName>
    <definedName name="ademir" hidden="1">{#N/A,#N/A,FALSE,"Cronograma";#N/A,#N/A,FALSE,"Cronogr. 2"}</definedName>
    <definedName name="ADITIVO_BRUTO">#REF!</definedName>
    <definedName name="ADITIVO_LIQUIDO">#REF!</definedName>
    <definedName name="ADM">#REF!</definedName>
    <definedName name="ADM.EXTERNA">#REF!</definedName>
    <definedName name="ADM_CONDICOES">#REF!</definedName>
    <definedName name="ADMINISTRAÇÃO">#REF!</definedName>
    <definedName name="ADMS">#REF!</definedName>
    <definedName name="ADUCQT">#REF!</definedName>
    <definedName name="AE">#REF!</definedName>
    <definedName name="aea" hidden="1">{"NORMAL",#N/A,FALSE,"02"}</definedName>
    <definedName name="AEDates">#REF!</definedName>
    <definedName name="AEForecast">#REF!</definedName>
    <definedName name="aeg" hidden="1">{#N/A,#N/A,FALSE,"ENG'G(보호계전기)"}</definedName>
    <definedName name="AENominal">#REF!</definedName>
    <definedName name="AETotal">#REF!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asd" hidden="1">{#N/A,#N/A,FALSE,"단가표지"}</definedName>
    <definedName name="afd" hidden="1">{#N/A,#N/A,FALSE,"운반시간"}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FI">#REF!</definedName>
    <definedName name="AFN">#REF!</definedName>
    <definedName name="AFNIT">#REF!</definedName>
    <definedName name="AFP">#REF!</definedName>
    <definedName name="AFPYN">#REF!</definedName>
    <definedName name="AG.FRM">#REF!</definedName>
    <definedName name="aga">#REF!</definedName>
    <definedName name="agb" hidden="1">{"DECIMAL",#N/A,FALSE,"02"}</definedName>
    <definedName name="agc" hidden="1">{"DECIMAL",#N/A,FALSE,"02"}</definedName>
    <definedName name="AGÊNCIA">#REF!</definedName>
    <definedName name="agfg" hidden="1">{"'장비'!$A$3:$M$12"}</definedName>
    <definedName name="AH" hidden="1">{#N/A,#N/A,FALSE,"CCTV"}</definedName>
    <definedName name="Aimp">#REF!</definedName>
    <definedName name="AITEM">#REF!</definedName>
    <definedName name="aline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Imper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guel_de_máquinas__veículos_e_equipamentos">#REF!</definedName>
    <definedName name="ALUMINIO.VIDROS">#REF!</definedName>
    <definedName name="ALUMÍNIO_2">#REF!</definedName>
    <definedName name="ALVENARIA">#N/A</definedName>
    <definedName name="Alvenarias">#REF!</definedName>
    <definedName name="am">#REF!</definedName>
    <definedName name="AM_1">#REF!</definedName>
    <definedName name="AM_2">#REF!</definedName>
    <definedName name="AM_3">#REF!</definedName>
    <definedName name="AMARCIO">#REF!</definedName>
    <definedName name="AMI">#REF!</definedName>
    <definedName name="AMOR">#REF!</definedName>
    <definedName name="AN">#REF!</definedName>
    <definedName name="ANAC">#REF!</definedName>
    <definedName name="ANALITICO">#REF!</definedName>
    <definedName name="AnalysisStartDate">#REF!</definedName>
    <definedName name="ancora2">#REF!</definedName>
    <definedName name="ANEXOS">#REF!</definedName>
    <definedName name="Annex6_2NotPiping">#REF!</definedName>
    <definedName name="ano">#REF!</definedName>
    <definedName name="anscount" hidden="1">1</definedName>
    <definedName name="ANTIGA">#REF!</definedName>
    <definedName name="anuais_longa">#REF!</definedName>
    <definedName name="AP">#REF!</definedName>
    <definedName name="apf1a">#REF!</definedName>
    <definedName name="apr">#REF!</definedName>
    <definedName name="Apresentação">#REF!</definedName>
    <definedName name="APTO">#REF!</definedName>
    <definedName name="AQ" hidden="1">#REF!</definedName>
    <definedName name="AQ.FRM">#REF!</definedName>
    <definedName name="AQE" hidden="1">{"'장비'!$A$3:$M$12"}</definedName>
    <definedName name="AQTEMP1">#REF!</definedName>
    <definedName name="AQTEMP2">#REF!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>#REF!</definedName>
    <definedName name="arc">#REF!</definedName>
    <definedName name="ArComprimido" hidden="1">{"'Estimativa de Lançamento-JAN'!$A$1:$AI$85"}</definedName>
    <definedName name="area">#REF!</definedName>
    <definedName name="AREA_ALU_DIV_BRISE">#REF!</definedName>
    <definedName name="AREA_ALU_GC_BRISE">#REF!</definedName>
    <definedName name="AREA_ALU_GC_VIDRO">#REF!</definedName>
    <definedName name="AREA_ALU_JAN_COR2F">#REF!</definedName>
    <definedName name="AREA_ALU_JAN_COR3F">#REF!</definedName>
    <definedName name="AREA_ALU_JAN_ESPECIAL">#REF!</definedName>
    <definedName name="AREA_ALU_JAN_INTEGR">#REF!</definedName>
    <definedName name="AREA_ALU_JAN_MAXIN">#REF!</definedName>
    <definedName name="AREA_ALU_JAN_VENEZ">#REF!</definedName>
    <definedName name="AREA_ALU_POR_INTEGR">#REF!</definedName>
    <definedName name="AREA_ALU_POR_VENEZ">#REF!</definedName>
    <definedName name="AREA_ALU_POR_VIDRO">#REF!</definedName>
    <definedName name="AREA_ALV_EST10_MAT">#REF!</definedName>
    <definedName name="AREA_ALV_EST10_MDO">#REF!</definedName>
    <definedName name="AREA_ALV_EST12_MAT">#REF!</definedName>
    <definedName name="AREA_ALV_EST12_MDO">#REF!</definedName>
    <definedName name="AREA_ALV_EST14_MAT">#REF!</definedName>
    <definedName name="AREA_ALV_EST14_MDO">#REF!</definedName>
    <definedName name="AREA_ALV_EST16_MAT">#REF!</definedName>
    <definedName name="AREA_ALV_EST16_MDO">#REF!</definedName>
    <definedName name="AREA_ALV_EST18_MAT">#REF!</definedName>
    <definedName name="AREA_ALV_EST18_MDO">#REF!</definedName>
    <definedName name="AREA_ALV_EST20_MAT">#REF!</definedName>
    <definedName name="AREA_ALV_EST20_MDO">#REF!</definedName>
    <definedName name="AREA_ALV_EST22_MAT">#REF!</definedName>
    <definedName name="AREA_ALV_EST22_MDO">#REF!</definedName>
    <definedName name="AREA_ALV_EST24_MDO">#REF!</definedName>
    <definedName name="AREA_ALV_EST4_MAT">#REF!</definedName>
    <definedName name="AREA_ALV_EST4_MDO">#REF!</definedName>
    <definedName name="AREA_ALV_EST6_MAT">#REF!</definedName>
    <definedName name="AREA_ALV_EST6_MDO">#REF!</definedName>
    <definedName name="AREA_ALV_EST8_MAT">#REF!</definedName>
    <definedName name="AREA_ALV_EST8_MDO">#REF!</definedName>
    <definedName name="AREA_ALV_MURETA_MDO">#REF!</definedName>
    <definedName name="AREA_ALV_MURO_MDO">#REF!</definedName>
    <definedName name="AREA_ALV_VAZ_MDO">#REF!</definedName>
    <definedName name="AREA_ALV_VED_MAT">#REF!</definedName>
    <definedName name="AREA_ALV_VED_MDO">#REF!</definedName>
    <definedName name="AREA_AZULEJO_ASERV">#REF!</definedName>
    <definedName name="AREA_AZULEJO_BANHO">#REF!</definedName>
    <definedName name="AREA_AZULEJO_COMUM">#REF!</definedName>
    <definedName name="AREA_AZULEJO_COZINHA">#REF!</definedName>
    <definedName name="AREA_AZULEJO_TOTAL">#REF!</definedName>
    <definedName name="area_base">#REF!</definedName>
    <definedName name="AREA_CAIACAO_PAREDE">#REF!</definedName>
    <definedName name="AREA_CAIACAO_TETO">#REF!</definedName>
    <definedName name="AREA_CERAMICA_GERAL">#REF!</definedName>
    <definedName name="AREA_CONSTR_AP">#REF!</definedName>
    <definedName name="AREA_CONSTR_AR">#REF!</definedName>
    <definedName name="AREA_CONSTR_AU">#REF!</definedName>
    <definedName name="AREA_CONSTR_PREF">#REF!</definedName>
    <definedName name="AREA_CONTRAPISO_EXT">#REF!</definedName>
    <definedName name="AREA_CONTRAPISO_INT">#REF!</definedName>
    <definedName name="AREA_CONTRAPISO_TOTAL">#REF!</definedName>
    <definedName name="AREA_DE_DADOS">#REF!</definedName>
    <definedName name="_xlnm.Extract">#REF!</definedName>
    <definedName name="_xlnm.Print_Area">#REF!</definedName>
    <definedName name="Área_de_impressão1">#REF!</definedName>
    <definedName name="Área_de_impressão2">#REF!</definedName>
    <definedName name="AREA_DW_1RU_1RU_MDO">#REF!</definedName>
    <definedName name="AREA_DW_1ST_1RU_MDO">#REF!</definedName>
    <definedName name="AREA_DW_1ST_1ST_MDO">#REF!</definedName>
    <definedName name="AREA_DW_2ST_1RU_MDO">#REF!</definedName>
    <definedName name="AREA_DW_2ST_2ST_MDO">#REF!</definedName>
    <definedName name="AREA_EMBOCO_PINTURA">#REF!</definedName>
    <definedName name="AREA_EMBOCO_TECNICO">#REF!</definedName>
    <definedName name="AREA_ESQ_ALUMINIO">#REF!</definedName>
    <definedName name="AREA_ESQ_FERRO">#REF!</definedName>
    <definedName name="AREA_ESTRUTURADA">#REF!</definedName>
    <definedName name="AREA_FACHADA_BICAMADA">#REF!</definedName>
    <definedName name="AREA_FACHADA_MAT">#REF!</definedName>
    <definedName name="AREA_FACHADA_MDO">#REF!</definedName>
    <definedName name="AREA_FER_ESC_FIXA">#REF!</definedName>
    <definedName name="AREA_FER_ESC_MARIN">#REF!</definedName>
    <definedName name="AREA_FER_GRADIL1">#REF!</definedName>
    <definedName name="AREA_FER_GRADIL2">#REF!</definedName>
    <definedName name="AREA_FER_GRADIL3">#REF!</definedName>
    <definedName name="AREA_FER_GRELHAT1">#REF!</definedName>
    <definedName name="AREA_FER_GRELHAT2">#REF!</definedName>
    <definedName name="AREA_FER_POR_BASCUL">#REF!</definedName>
    <definedName name="AREA_FER_PORT1">#REF!</definedName>
    <definedName name="AREA_FER_PORT2">#REF!</definedName>
    <definedName name="AREA_FER_PORT3">#REF!</definedName>
    <definedName name="AREA_FER_TELA">#REF!</definedName>
    <definedName name="AREA_FORRO_FGA">#REF!</definedName>
    <definedName name="AREA_FORRO_FGE">#REF!</definedName>
    <definedName name="AREA_GESSOPAR_BANHO">#REF!</definedName>
    <definedName name="AREA_GESSOPAR_COMUM">#REF!</definedName>
    <definedName name="AREA_GESSOPAR_ESCADA">#REF!</definedName>
    <definedName name="AREA_GESSOPAR_GERAL">#REF!</definedName>
    <definedName name="AREA_GESSOPAR_HALL">#REF!</definedName>
    <definedName name="AREA_GESSOTETO_BANHO">#REF!</definedName>
    <definedName name="AREA_GESSOTETO_COMUM">#REF!</definedName>
    <definedName name="AREA_GESSOTETO_ESCADA">#REF!</definedName>
    <definedName name="AREA_GESSOTETO_GERAL">#REF!</definedName>
    <definedName name="AREA_GESSOTETO_HALL">#REF!</definedName>
    <definedName name="AREA_IMP_ASERV">#REF!</definedName>
    <definedName name="AREA_IMP_ASF_AC">#REF!</definedName>
    <definedName name="AREA_IMP_BANHO">#REF!</definedName>
    <definedName name="AREA_IMP_BARRILETE">#REF!</definedName>
    <definedName name="AREA_IMP_BOX">#REF!</definedName>
    <definedName name="AREA_IMP_COBERTURA">#REF!</definedName>
    <definedName name="AREA_IMP_CORTINA">#REF!</definedName>
    <definedName name="AREA_IMP_JARDIM">#REF!</definedName>
    <definedName name="AREA_IMP_PISCINA">#REF!</definedName>
    <definedName name="AREA_IMP_POL_AC">#REF!</definedName>
    <definedName name="AREA_IMP_RESERVAT">#REF!</definedName>
    <definedName name="AREA_IMP_VARANDA">#REF!</definedName>
    <definedName name="area_impressÃO">#REF!</definedName>
    <definedName name="Área_impressão">#REF!</definedName>
    <definedName name="Área_impressão_IM">#REF!</definedName>
    <definedName name="AREA_PISCINA_PAREDE">#REF!</definedName>
    <definedName name="AREA_PISCINA_PISO">#REF!</definedName>
    <definedName name="AREA_PISO_ASERV">#REF!</definedName>
    <definedName name="AREA_PISO_BANHO">#REF!</definedName>
    <definedName name="AREA_PISO_BORRACHA">#REF!</definedName>
    <definedName name="AREA_PISO_CALCADA">#REF!</definedName>
    <definedName name="AREA_PISO_CARPETE">#REF!</definedName>
    <definedName name="AREA_PISO_COMUM">#REF!</definedName>
    <definedName name="AREA_PISO_CONTRAPISO">#REF!</definedName>
    <definedName name="AREA_PISO_COZINHA">#REF!</definedName>
    <definedName name="AREA_PISO_DORM">#REF!</definedName>
    <definedName name="AREA_PISO_DRENANTE">#REF!</definedName>
    <definedName name="AREA_PISO_ELEVADO">#REF!</definedName>
    <definedName name="AREA_PISO_EXTERNA">#REF!</definedName>
    <definedName name="AREA_PISO_GRANITO">#REF!</definedName>
    <definedName name="AREA_PISO_HALL">#REF!</definedName>
    <definedName name="AREA_PISO_INTERTRAVADO">#REF!</definedName>
    <definedName name="AREA_PISO_LADRILHO">#REF!</definedName>
    <definedName name="AREA_PISO_LAJE_ZERO">#REF!</definedName>
    <definedName name="AREA_PISO_LAMINADO">#REF!</definedName>
    <definedName name="AREA_PISO_MADEIRA">#REF!</definedName>
    <definedName name="AREA_PISO_PEDRA_DEC">#REF!</definedName>
    <definedName name="AREA_PISO_PINTURA">#REF!</definedName>
    <definedName name="AREA_PISO_QUADRA">#REF!</definedName>
    <definedName name="AREA_PISO_SALA">#REF!</definedName>
    <definedName name="AREA_PISO_SUBSOLO">#REF!</definedName>
    <definedName name="AREA_PISO_TERRACO">#REF!</definedName>
    <definedName name="AREA_PISO_VINILICO">#REF!</definedName>
    <definedName name="AREA_POCOELEV_PAREDE">#REF!</definedName>
    <definedName name="AREA_POCOELEV_TETO">#REF!</definedName>
    <definedName name="AREA_PSG_LAJE">#REF!</definedName>
    <definedName name="AREA_PSG_SOLO">#REF!</definedName>
    <definedName name="AREA_TERRENO">#REF!</definedName>
    <definedName name="AREA_TEXTURA_EXT_PROJETADA">#REF!</definedName>
    <definedName name="AREA_TEXTURA_EXT_RASPADA">#REF!</definedName>
    <definedName name="AREA_TEXTURA_EXT_ROLADA">#REF!</definedName>
    <definedName name="AREA_TEXTURA_PAREDEINT">#REF!</definedName>
    <definedName name="AREA_TEXTURA_TETOINT">#REF!</definedName>
    <definedName name="AREA_TIPO_A">#REF!</definedName>
    <definedName name="AREA_TIPO_B">#REF!</definedName>
    <definedName name="AREA_TIPO_C">#REF!</definedName>
    <definedName name="AREA_VIDRO_F_3MM_INC">#REF!</definedName>
    <definedName name="AREA_VIDRO_F_4MM_INC">#REF!</definedName>
    <definedName name="AREA_VIDRO_F_5MM_INC">#REF!</definedName>
    <definedName name="AREA_VIDRO_F_6MM_INC">#REF!</definedName>
    <definedName name="AREA_VIDRO_L_6MM_INC">#REF!</definedName>
    <definedName name="AREA_VIDRO_L_8MM_INC">#REF!</definedName>
    <definedName name="AREA_VIDRO_L_8MM_VER">#REF!</definedName>
    <definedName name="AREA_VIDRO_P_3MM_INC">#REF!</definedName>
    <definedName name="AREA_VIDRO_T_10MM_INC">#REF!</definedName>
    <definedName name="AREA_VIDROS">#REF!</definedName>
    <definedName name="AreaProch">#REF!</definedName>
    <definedName name="argila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quivo">#REF!</definedName>
    <definedName name="Arred">#REF!</definedName>
    <definedName name="ARTE">#REF!</definedName>
    <definedName name="ARTEMP">#REF!</definedName>
    <definedName name="AS" hidden="1">#REF!</definedName>
    <definedName name="AS2DocOpenMode" hidden="1">"AS2DocumentEdit"</definedName>
    <definedName name="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hidden="1">#REF!</definedName>
    <definedName name="asasaas" hidden="1">#REF!</definedName>
    <definedName name="ASCENSOR" hidden="1">{"'resumen'!$A$1:$D$42"}</definedName>
    <definedName name="asd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s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sdasdas" hidden="1">#REF!</definedName>
    <definedName name="asdd" hidden="1">#REF!</definedName>
    <definedName name="ASDF" hidden="1">{#N/A,#N/A,FALSE,"CCTV"}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gasdg" hidden="1">#REF!</definedName>
    <definedName name="asdgsd">#REF!</definedName>
    <definedName name="ASF" hidden="1">#REF!</definedName>
    <definedName name="asfas" hidden="1">{#N/A,#N/A,FALSE,"표지목차"}</definedName>
    <definedName name="ASFG" hidden="1">#REF!</definedName>
    <definedName name="ASG" hidden="1">#REF!</definedName>
    <definedName name="asg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gh">#REF!</definedName>
    <definedName name="ASP">#REF!</definedName>
    <definedName name="ass">#REF!</definedName>
    <definedName name="assasasa">#REF!</definedName>
    <definedName name="assd" hidden="1">{#N/A,#N/A,FALSE,"Bericht 2";#N/A,#N/A,FALSE,"Bericht 3";#N/A,#N/A,FALSE,"Bericht 1"}</definedName>
    <definedName name="asSDas">#REF!</definedName>
    <definedName name="asxc">#REF!</definedName>
    <definedName name="at">#REF!</definedName>
    <definedName name="ata">#REF!</definedName>
    <definedName name="atc">#REF!</definedName>
    <definedName name="atf">#REF!</definedName>
    <definedName name="ato1_longa">#REF!</definedName>
    <definedName name="ato2_longa">#REF!</definedName>
    <definedName name="atrts" hidden="1">{"offequipsch",#N/A,FALSE,"GTC_Schedule";"onconstsch",#N/A,FALSE,"GTC_Schedule";"techsch",#N/A,FALSE,"GTC_Schedule";"totsch",#N/A,FALSE,"GTC_Schedule"}</definedName>
    <definedName name="ATUAL">#REF!</definedName>
    <definedName name="ATUALIZAÇÃOFRANCA" hidden="1">#REF!</definedName>
    <definedName name="Aut_original">#REF!</definedName>
    <definedName name="Aut_resumo">#REF!</definedName>
    <definedName name="Autoridade">#REF!</definedName>
    <definedName name="aux">#REF!</definedName>
    <definedName name="AUX_PRAZO">#REF!</definedName>
    <definedName name="auxiliar">#REF!</definedName>
    <definedName name="AUXILIARES">#REF!</definedName>
    <definedName name="awdg">#REF!,#REF!,#REF!,#REF!</definedName>
    <definedName name="aweas" hidden="1">{"sheet1",#N/A,FALSE,"easheet";"sheet2a",#N/A,FALSE,"easheet";"sheet2b",#N/A,FALSE,"easheet";"sheet3",#N/A,FALSE,"easheet"}</definedName>
    <definedName name="AZU">#REF!</definedName>
    <definedName name="b">#REF!</definedName>
    <definedName name="B.DADOS">#REF!</definedName>
    <definedName name="B_HaulerHours_HaulerCalculator">#REF!</definedName>
    <definedName name="Bacia">#REF!</definedName>
    <definedName name="Bacia2">#REF!</definedName>
    <definedName name="BAI">#REF!</definedName>
    <definedName name="balão1">"AutoForma 17"</definedName>
    <definedName name="banco">#REF!</definedName>
    <definedName name="BANCO_AFFINITY">#REF!</definedName>
    <definedName name="Banco_dados_IM">#REF!</definedName>
    <definedName name="_xlnm.Database">#REF!</definedName>
    <definedName name="BANCO_INSUMOS">#REF!</definedName>
    <definedName name="BANCO1">#REF!</definedName>
    <definedName name="BANCO2">#REF!</definedName>
    <definedName name="BANCO3">#REF!</definedName>
    <definedName name="BANCO4">#REF!</definedName>
    <definedName name="BANCOBBT">#REF!</definedName>
    <definedName name="BANCODEINSUMOS">#REF!</definedName>
    <definedName name="BANCOINSUMO">#REF!</definedName>
    <definedName name="BANCOINSUMOSCONTRATUAL1">#REF!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ETE">#REF!</definedName>
    <definedName name="BASE">OFFSET(#REF!,0,0,COUNTA(#REF!)+1,5)</definedName>
    <definedName name="BASECONTA">#REF!</definedName>
    <definedName name="BBB" hidden="1">{#N/A,#N/A,FALSE,"CCTV"}</definedName>
    <definedName name="bbbbbbb" hidden="1">{#N/A,#N/A,FALSE,"ENG'G(보호계전기)"}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coinsumos">#REF!</definedName>
    <definedName name="BcoInsumos2">#REF!</definedName>
    <definedName name="BCOINSUMOSINCC">#REF!</definedName>
    <definedName name="BCOND">#REF!</definedName>
    <definedName name="BCOS">#REF!</definedName>
    <definedName name="BD01_20">#REF!</definedName>
    <definedName name="BD1_9">#REF!</definedName>
    <definedName name="BD100_900">#REF!</definedName>
    <definedName name="BD20_90">#REF!</definedName>
    <definedName name="BDI">1.43344312465585</definedName>
    <definedName name="BDI.">#REF!</definedName>
    <definedName name="BDI_IND">#REF!</definedName>
    <definedName name="BDI_Material">#REF!</definedName>
    <definedName name="BDI_MdO">#REF!</definedName>
    <definedName name="bebqt">#REF!</definedName>
    <definedName name="BERCO">#REF!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>#REF!</definedName>
    <definedName name="bgtyy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min">#REF!</definedName>
    <definedName name="bla" hidden="1">#REF!</definedName>
    <definedName name="BLE">#REF!</definedName>
    <definedName name="BLO">#REF!</definedName>
    <definedName name="bloco">#REF!</definedName>
    <definedName name="BLOCO_B">#REF!</definedName>
    <definedName name="BLOCO_BB">#REF!</definedName>
    <definedName name="BLOCO_BBB">#REF!</definedName>
    <definedName name="BLOCO_C">#REF!</definedName>
    <definedName name="BLOCO_CC">#REF!</definedName>
    <definedName name="BLOCO_CCC">#REF!</definedName>
    <definedName name="BLOCO_CCCC">#REF!</definedName>
    <definedName name="BLOCOAA">#REF!</definedName>
    <definedName name="BLQ">#REF!</definedName>
    <definedName name="BM" hidden="1">{#N/A,#N/A,FALSE,"CCTV"}</definedName>
    <definedName name="BNMH" hidden="1">{#N/A,#N/A,FALSE,"CCTV"}</definedName>
    <definedName name="BOL" hidden="1">{#N/A,#N/A,FALSE,"이정표"}</definedName>
    <definedName name="BOLSA">#REF!</definedName>
    <definedName name="Bomba_putzmeister">#REF!</definedName>
    <definedName name="BOMBEROS">#REF!</definedName>
    <definedName name="BORD">#REF!</definedName>
    <definedName name="BORDA_2">#REF!</definedName>
    <definedName name="BORDAINV">#REF!</definedName>
    <definedName name="BORDAOBS">#REF!</definedName>
    <definedName name="BOS" hidden="1">{#N/A,#N/A,FALSE,"이정표"}</definedName>
    <definedName name="bosta" hidden="1">{#N/A,#N/A,FALSE,"Cronograma";#N/A,#N/A,FALSE,"Cronogr. 2"}</definedName>
    <definedName name="BPC">#REF!</definedName>
    <definedName name="BR.FRM">#REF!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T__1">#REF!</definedName>
    <definedName name="BT_AOES">#REF!</definedName>
    <definedName name="BT_BLH">#REF!</definedName>
    <definedName name="BT_CEM">#REF!</definedName>
    <definedName name="BT_CTAVO">#REF!</definedName>
    <definedName name="BT_DE">#REF!</definedName>
    <definedName name="BT_E">#REF!</definedName>
    <definedName name="BT_EVG">#REF!</definedName>
    <definedName name="BT_MDA">#REF!</definedName>
    <definedName name="BT_MIL">#REF!</definedName>
    <definedName name="BT_MLH">#REF!</definedName>
    <definedName name="BT_VG">#REF!</definedName>
    <definedName name="BudgetDates">#REF!</definedName>
    <definedName name="Bueiros">#REF!</definedName>
    <definedName name="build1" hidden="1">{"offequipsch",#N/A,FALSE,"GTC_Schedule";"onconstsch",#N/A,FALSE,"GTC_Schedule";"techsch",#N/A,FALSE,"GTC_Schedule";"totsch",#N/A,FALSE,"GTC_Schedule"}</definedName>
    <definedName name="BuiltIn_AutoFilter___7">#REF!</definedName>
    <definedName name="BuiltIn_AutoFilter___7_1">#REF!</definedName>
    <definedName name="BuiltIn_AutoFilter___7_10">#REF!</definedName>
    <definedName name="BuiltIn_AutoFilter___7_11">#REF!</definedName>
    <definedName name="BuiltIn_AutoFilter___7_12">#REF!</definedName>
    <definedName name="BuiltIn_AutoFilter___7_2">#REF!</definedName>
    <definedName name="BuiltIn_AutoFilter___7_3">#REF!</definedName>
    <definedName name="BuiltIn_AutoFilter___7_4">#REF!</definedName>
    <definedName name="BuiltIn_AutoFilter___7_5">#REF!</definedName>
    <definedName name="BuiltIn_AutoFilter___7_6">#REF!</definedName>
    <definedName name="BuiltIn_AutoFilter___7_7">#REF!</definedName>
    <definedName name="BuiltIn_AutoFilter___7_8">#REF!</definedName>
    <definedName name="BuiltIn_AutoFilter___7_9">#REF!</definedName>
    <definedName name="BuiltIn_AutoFilter___8">#REF!</definedName>
    <definedName name="BuiltIn_AutoFilter___8_1">#REF!</definedName>
    <definedName name="BuiltIn_AutoFilter___8_10">#REF!</definedName>
    <definedName name="BuiltIn_AutoFilter___8_11">#REF!</definedName>
    <definedName name="BuiltIn_AutoFilter___8_12">#REF!</definedName>
    <definedName name="BuiltIn_AutoFilter___8_13">#REF!</definedName>
    <definedName name="BuiltIn_AutoFilter___8_14">#REF!</definedName>
    <definedName name="BuiltIn_AutoFilter___8_15">#REF!</definedName>
    <definedName name="BuiltIn_AutoFilter___8_16">#REF!</definedName>
    <definedName name="BuiltIn_AutoFilter___8_17">#REF!</definedName>
    <definedName name="BuiltIn_AutoFilter___8_18">#REF!</definedName>
    <definedName name="BuiltIn_AutoFilter___8_19">#REF!</definedName>
    <definedName name="BuiltIn_AutoFilter___8_2">#REF!</definedName>
    <definedName name="BuiltIn_AutoFilter___8_20">#REF!</definedName>
    <definedName name="BuiltIn_AutoFilter___8_21">#REF!</definedName>
    <definedName name="BuiltIn_AutoFilter___8_22">#REF!</definedName>
    <definedName name="BuiltIn_AutoFilter___8_23">#REF!</definedName>
    <definedName name="BuiltIn_AutoFilter___8_24">#REF!</definedName>
    <definedName name="BuiltIn_AutoFilter___8_25">#REF!</definedName>
    <definedName name="BuiltIn_AutoFilter___8_26">#REF!</definedName>
    <definedName name="BuiltIn_AutoFilter___8_27">#REF!</definedName>
    <definedName name="BuiltIn_AutoFilter___8_28">#REF!</definedName>
    <definedName name="BuiltIn_AutoFilter___8_29">#REF!</definedName>
    <definedName name="BuiltIn_AutoFilter___8_3">#REF!</definedName>
    <definedName name="BuiltIn_AutoFilter___8_30">#REF!</definedName>
    <definedName name="BuiltIn_AutoFilter___8_31">#REF!</definedName>
    <definedName name="BuiltIn_AutoFilter___8_32">#REF!</definedName>
    <definedName name="BuiltIn_AutoFilter___8_4">#REF!</definedName>
    <definedName name="BuiltIn_AutoFilter___8_5">#REF!</definedName>
    <definedName name="BuiltIn_AutoFilter___8_6">#REF!</definedName>
    <definedName name="BuiltIn_AutoFilter___8_7">#REF!</definedName>
    <definedName name="BuiltIn_AutoFilter___8_8">#REF!</definedName>
    <definedName name="BuiltIn_AutoFilter___8_9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"$#REF!.$A$1:$T$5"</definedName>
    <definedName name="BuiltIn_Print_Area___0">"$#REF!.$A$1:$N$12"</definedName>
    <definedName name="BuiltIn_Print_Area___0___0">"$#REF!.$A$1:$N$13"</definedName>
    <definedName name="BuiltIn_Print_Area___0___0___0">"$#REF!.$A$1:$N$5"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___0">#REF!</definedName>
    <definedName name="BuiltIn_Print_Area___0___0___10">#REF!</definedName>
    <definedName name="BuiltIn_Print_Area___0___0_1">#REF!</definedName>
    <definedName name="BuiltIn_Print_Area___0___0_11">#REF!</definedName>
    <definedName name="BuiltIn_Print_Area___0___0_2">"$#REF!.$A$1:$N$5"</definedName>
    <definedName name="BuiltIn_Print_Area___0___0_3">#REF!</definedName>
    <definedName name="BuiltIn_Print_Area___0___0_5">"$#REF!.$A$1:$N$5"</definedName>
    <definedName name="BuiltIn_Print_Area___0___1">#REF!</definedName>
    <definedName name="BuiltIn_Print_Area___0___1___0">#REF!</definedName>
    <definedName name="BuiltIn_Print_Area___0___1___0___0">#REF!</definedName>
    <definedName name="BuiltIn_Print_Area___0___1___0___0___0">#REF!</definedName>
    <definedName name="BuiltIn_Print_Area___0___1___0___0___0___0">#REF!</definedName>
    <definedName name="BuiltIn_Print_Area___0___1___0___0___0___0___0">#REF!</definedName>
    <definedName name="BuiltIn_Print_Area___0___1___0___0___0___0___0___0">#REF!</definedName>
    <definedName name="BuiltIn_Print_Area___0___1___0___0___0___0___0___0___0">#REF!</definedName>
    <definedName name="BuiltIn_Print_Area___0___1___0___0___0___0___0___0___0___0">#REF!</definedName>
    <definedName name="BuiltIn_Print_Area___0___1___0___0___0___0___0___0___0___0_1">#REF!</definedName>
    <definedName name="BuiltIn_Print_Area___0___1___0___0___0___0___0___0___0___0_1_1">#REF!</definedName>
    <definedName name="BuiltIn_Print_Area___0___1___0___0___0___0___0___0___0_1">#REF!</definedName>
    <definedName name="BuiltIn_Print_Area___0___1___0___0___0___0___0___0___0_1_1">#REF!</definedName>
    <definedName name="BuiltIn_Print_Area___0___1___0___0___0___0___0___0_1">#REF!</definedName>
    <definedName name="BuiltIn_Print_Area___0___1___0___0___0___0___0___0_1_1">#REF!</definedName>
    <definedName name="BuiltIn_Print_Area___0___1___0___0___0___0___0_1">#REF!</definedName>
    <definedName name="BuiltIn_Print_Area___0___1___0___0___0___0___0_1_1">#REF!</definedName>
    <definedName name="BuiltIn_Print_Area___0___1___0___0___0___0_1">#REF!</definedName>
    <definedName name="BuiltIn_Print_Area___0___1___0___0___0___0_1_1">#REF!</definedName>
    <definedName name="BuiltIn_Print_Area___0___1___0___0___0_1">#REF!</definedName>
    <definedName name="BuiltIn_Print_Area___0___1___0___0___0_1_1">#REF!</definedName>
    <definedName name="BuiltIn_Print_Area___0___1___0___0_1">#REF!</definedName>
    <definedName name="BuiltIn_Print_Area___0___1___0___0_1_1">#REF!</definedName>
    <definedName name="BuiltIn_Print_Area___0___1___0_1">#REF!</definedName>
    <definedName name="BuiltIn_Print_Area___0___1___0_1_1">#REF!</definedName>
    <definedName name="BuiltIn_Print_Area___0___1_1">#REF!</definedName>
    <definedName name="BuiltIn_Print_Area___0___1_1_1">#REF!</definedName>
    <definedName name="BuiltIn_Print_Area___0___16">#REF!</definedName>
    <definedName name="BuiltIn_Print_Area___0___16___0">#REF!</definedName>
    <definedName name="BuiltIn_Print_Area___0___16___0___0">#REF!</definedName>
    <definedName name="BuiltIn_Print_Area___0___16___0___0___0">#REF!</definedName>
    <definedName name="BuiltIn_Print_Area___0___16___0___0___0___0">#REF!</definedName>
    <definedName name="BuiltIn_Print_Area___0___16___0___0___0___0___0">#REF!</definedName>
    <definedName name="BuiltIn_Print_Area___0___16___0___0___0___0___0___0">#REF!</definedName>
    <definedName name="BuiltIn_Print_Area___0___16___0___0___0___0___0___0___0">#REF!</definedName>
    <definedName name="BuiltIn_Print_Area___0___4">#REF!</definedName>
    <definedName name="BuiltIn_Print_Area___0___5">"$#REF!.$A$1:$T$23"</definedName>
    <definedName name="BuiltIn_Print_Area___0___5___0">#REF!</definedName>
    <definedName name="BuiltIn_Print_Area___0___5_1">#REF!</definedName>
    <definedName name="BuiltIn_Print_Area___0___5_11">#REF!</definedName>
    <definedName name="BuiltIn_Print_Area___0___5_2">"$#REF!.$A$1:$T$5"</definedName>
    <definedName name="BuiltIn_Print_Area___0___5_3">#REF!</definedName>
    <definedName name="BuiltIn_Print_Area___0___5_5">"$#REF!.$A$1:$T$5"</definedName>
    <definedName name="BuiltIn_Print_Area___0___6">"$#REF!.$A$1:$T$23"</definedName>
    <definedName name="BuiltIn_Print_Area___0___6___0">#REF!</definedName>
    <definedName name="BuiltIn_Print_Area___0___6_1">#REF!</definedName>
    <definedName name="BuiltIn_Print_Area___0___6_11">#REF!</definedName>
    <definedName name="BuiltIn_Print_Area___0___6_2">"$#REF!.$A$1:$T$5"</definedName>
    <definedName name="BuiltIn_Print_Area___0___6_3">#REF!</definedName>
    <definedName name="BuiltIn_Print_Area___0___6_5">"$#REF!.$A$1:$T$5"</definedName>
    <definedName name="BuiltIn_Print_Area___0___7">"$#REF!.$A$1:$T$23"</definedName>
    <definedName name="BuiltIn_Print_Area___0___7___0">#REF!</definedName>
    <definedName name="BuiltIn_Print_Area___0___7_1">#REF!</definedName>
    <definedName name="BuiltIn_Print_Area___0___7_11">#REF!</definedName>
    <definedName name="BuiltIn_Print_Area___0___7_2">"$#REF!.$A$1:$T$5"</definedName>
    <definedName name="BuiltIn_Print_Area___0___7_3">#REF!</definedName>
    <definedName name="BuiltIn_Print_Area___0___7_5">"$#REF!.$A$1:$T$5"</definedName>
    <definedName name="BuiltIn_Print_Area___0___8">"$#REF!.$A$1:$T$23"</definedName>
    <definedName name="BuiltIn_Print_Area___0___8_1">#REF!</definedName>
    <definedName name="BuiltIn_Print_Area___0___8_11">#REF!</definedName>
    <definedName name="BuiltIn_Print_Area___0___8_2">"$#REF!.$A$1:$T$5"</definedName>
    <definedName name="BuiltIn_Print_Area___0___8_3">#REF!</definedName>
    <definedName name="BuiltIn_Print_Area___0___8_5">"$#REF!.$A$1:$T$5"</definedName>
    <definedName name="BuiltIn_Print_Area___0_1">#REF!</definedName>
    <definedName name="BuiltIn_Print_Area___0_1_1">#REF!</definedName>
    <definedName name="BuiltIn_Print_Area___0_11">#REF!</definedName>
    <definedName name="BuiltIn_Print_Area___0_2">#REF!</definedName>
    <definedName name="BuiltIn_Print_Area___0_3">#REF!</definedName>
    <definedName name="BuiltIn_Print_Area___0_5">"$#REF!.$A$1:$F$127"</definedName>
    <definedName name="BuiltIn_Print_Area_1">#REF!</definedName>
    <definedName name="BuiltIn_Print_Area_1_1">#REF!</definedName>
    <definedName name="BuiltIn_Print_Titles">"$#REF!.$A$1:$IV$5"</definedName>
    <definedName name="BuiltIn_Print_Titles___0">"$#REF!.$A$1:$IV$8"</definedName>
    <definedName name="BuiltIn_Print_Titles___0___0">"$#REF!.$A$1:$IV$8"</definedName>
    <definedName name="BuiltIn_Print_Titles___0___0___0">"$#REF!.$A$1:$IV$5"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___0">#REF!</definedName>
    <definedName name="BuiltIn_Print_Titles___0___0___10">#REF!</definedName>
    <definedName name="BuiltIn_Print_Titles___0___0_1">#REF!</definedName>
    <definedName name="BuiltIn_Print_Titles___0___0_11">#REF!</definedName>
    <definedName name="BuiltIn_Print_Titles___0___0_2">"$#REF!.$A$1:$IV$5"</definedName>
    <definedName name="BuiltIn_Print_Titles___0___0_3">#REF!</definedName>
    <definedName name="BuiltIn_Print_Titles___0___0_5">"$#REF!.$A$1:$IV$5"</definedName>
    <definedName name="BuiltIn_Print_Titles___0___1">#REF!</definedName>
    <definedName name="BuiltIn_Print_Titles___0___16">#REF!</definedName>
    <definedName name="BuiltIn_Print_Titles___0___16___0">#REF!</definedName>
    <definedName name="BuiltIn_Print_Titles___0___16___0___0">#REF!</definedName>
    <definedName name="BuiltIn_Print_Titles___0___16___0___0___0">#REF!</definedName>
    <definedName name="BuiltIn_Print_Titles___0___16___0___0___0___0">#REF!</definedName>
    <definedName name="BuiltIn_Print_Titles___0___16___0___0___0___0___0">#REF!</definedName>
    <definedName name="BuiltIn_Print_Titles___0___5">"$#REF!.$A$1:$IV$8"</definedName>
    <definedName name="BuiltIn_Print_Titles___0___5_1">#REF!</definedName>
    <definedName name="BuiltIn_Print_Titles___0___5_11">#REF!</definedName>
    <definedName name="BuiltIn_Print_Titles___0___5_2">"$#REF!.$A$1:$IV$5"</definedName>
    <definedName name="BuiltIn_Print_Titles___0___5_3">#REF!</definedName>
    <definedName name="BuiltIn_Print_Titles___0___5_5">"$#REF!.$A$1:$IV$5"</definedName>
    <definedName name="BuiltIn_Print_Titles___0___6">"$#REF!.$A$1:$IV$8"</definedName>
    <definedName name="BuiltIn_Print_Titles___0___6_1">#REF!</definedName>
    <definedName name="BuiltIn_Print_Titles___0___6_11">#REF!</definedName>
    <definedName name="BuiltIn_Print_Titles___0___6_2">"$#REF!.$A$1:$IV$5"</definedName>
    <definedName name="BuiltIn_Print_Titles___0___6_3">#REF!</definedName>
    <definedName name="BuiltIn_Print_Titles___0___6_5">"$#REF!.$A$1:$IV$5"</definedName>
    <definedName name="BuiltIn_Print_Titles___0___7">"$#REF!.$A$1:$IV$8"</definedName>
    <definedName name="BuiltIn_Print_Titles___0___7_1">#REF!</definedName>
    <definedName name="BuiltIn_Print_Titles___0___7_11">#REF!</definedName>
    <definedName name="BuiltIn_Print_Titles___0___7_2">"$#REF!.$A$1:$IV$5"</definedName>
    <definedName name="BuiltIn_Print_Titles___0___7_3">#REF!</definedName>
    <definedName name="BuiltIn_Print_Titles___0___7_5">"$#REF!.$A$1:$IV$5"</definedName>
    <definedName name="BuiltIn_Print_Titles___0___8">"$#REF!.$A$1:$IV$8"</definedName>
    <definedName name="BuiltIn_Print_Titles___0___8_1">#REF!</definedName>
    <definedName name="BuiltIn_Print_Titles___0___8_11">#REF!</definedName>
    <definedName name="BuiltIn_Print_Titles___0___8_2">"$#REF!.$A$1:$IV$5"</definedName>
    <definedName name="BuiltIn_Print_Titles___0___8_3">#REF!</definedName>
    <definedName name="BuiltIn_Print_Titles___0___8_5">"$#REF!.$A$1:$IV$5"</definedName>
    <definedName name="BuiltIn_Print_Titles___0_1">#REF!</definedName>
    <definedName name="BuiltIn_Print_Titles___0_1_1">#REF!</definedName>
    <definedName name="BuiltIn_Print_Titles___0_11">#REF!</definedName>
    <definedName name="BuiltIn_Print_Titles___0_2">#REF!</definedName>
    <definedName name="BuiltIn_Print_Titles___0_3">#REF!</definedName>
    <definedName name="BuiltIn_Print_Titles___0_5">"$#REF!.$A$1:$IV$6"</definedName>
    <definedName name="BuiltIn_Print_Titles___4___4">#REF!</definedName>
    <definedName name="BuiltIn_Print_Titles___5___5">"$#REF!.$A$5:$IV$7"</definedName>
    <definedName name="BuiltIn_Print_Titles___5___5___0">#REF!</definedName>
    <definedName name="BuiltIn_Print_Titles___5___5_1">#REF!</definedName>
    <definedName name="BuiltIn_Print_Titles___5___5_11">#REF!</definedName>
    <definedName name="BuiltIn_Print_Titles___5___5_2">"$#REF!.$A$3:$IV$5"</definedName>
    <definedName name="BuiltIn_Print_Titles___5___5_3">#REF!</definedName>
    <definedName name="BuiltIn_Print_Titles___5___5_5">"$#REF!.$A$3:$IV$5"</definedName>
    <definedName name="BuiltIn_Print_Titles___6___6">"$#REF!.$A$5:$IV$7"</definedName>
    <definedName name="BuiltIn_Print_Titles___6___6___0">#REF!</definedName>
    <definedName name="BuiltIn_Print_Titles___6___6_1">#REF!</definedName>
    <definedName name="BuiltIn_Print_Titles___6___6_11">#REF!</definedName>
    <definedName name="BuiltIn_Print_Titles___6___6_2">"$#REF!.$A$3:$IV$5"</definedName>
    <definedName name="BuiltIn_Print_Titles___6___6_3">#REF!</definedName>
    <definedName name="BuiltIn_Print_Titles___6___6_5">"$#REF!.$A$3:$IV$5"</definedName>
    <definedName name="BuiltIn_Print_Titles___7___7">#REF!</definedName>
    <definedName name="BuiltIn_Print_Titles_1">#REF!</definedName>
    <definedName name="BuiltIn_Print_Titles_1_1">#REF!</definedName>
    <definedName name="Button_3">"Monitoramento_de_OAC_Caixas_de_ligação_Reg_I_Lista"</definedName>
    <definedName name="Button_4">"Monitoramento_de_OAC_Caixas_de_ligação_Reg_I_Lista"</definedName>
    <definedName name="BVBVBVBV">#REF!</definedName>
    <definedName name="ç" hidden="1">{#N/A,#N/A,FALSE,"BOQCIC";#N/A,#N/A,FALSE,"3Ds";#N/A,#N/A,FALSE,"COST DETAIL"}</definedName>
    <definedName name="C.SERV.MAT">#REF!</definedName>
    <definedName name="C.SERV.SMAT">#REF!</definedName>
    <definedName name="c_bueiros">#REF!</definedName>
    <definedName name="C_DistOneWay_HaulTakeOff">#REF!</definedName>
    <definedName name="C_FleetHrs_HaulTakeOff">#REF!</definedName>
    <definedName name="C_FleetShifts_HaulTakeOff">#REF!</definedName>
    <definedName name="C_FleetUnitsPerHr_HaulTakeOff">#REF!</definedName>
    <definedName name="C_HaulerHrs_HaulTakeOff">#REF!</definedName>
    <definedName name="C_HaulersPerFleet_HaulTakeOff">#REF!</definedName>
    <definedName name="C_HaulQty_HaulTakeOff">#REF!</definedName>
    <definedName name="C_HaulUM_HaulTakeOff">#REF!</definedName>
    <definedName name="C_HrsPerLoad_HaulTakeOff">#REF!</definedName>
    <definedName name="C_HrsPerShift_HaulTakeOff">#REF!</definedName>
    <definedName name="C_LoadsPerHr_HaulTakeOff">#REF!</definedName>
    <definedName name="C_NumHaulers_HaulTakeOff">#REF!</definedName>
    <definedName name="C_NumLoads_HaulTakeOff">#REF!</definedName>
    <definedName name="C_UnitsPerHaulerHr_HaulTakeOff">#REF!</definedName>
    <definedName name="C_UnitsPerLoad_HaulTakeOff">#REF!</definedName>
    <definedName name="ca">#REF!</definedName>
    <definedName name="CA´L" hidden="1">{#N/A,#N/A,FALSE,"Cronograma";#N/A,#N/A,FALSE,"Cronogr. 2"}</definedName>
    <definedName name="cab_cortes">#REF!</definedName>
    <definedName name="cab_dmt">#REF!</definedName>
    <definedName name="cab_limpeza">#REF!</definedName>
    <definedName name="cabmeio">#REF!</definedName>
    <definedName name="CAC">#REF!</definedName>
    <definedName name="caca" hidden="1">#REF!</definedName>
    <definedName name="caca2" hidden="1">#N/A</definedName>
    <definedName name="CACN.FRM">#REF!</definedName>
    <definedName name="Cadastro">#REF!</definedName>
    <definedName name="Cadista_SABESP">#REF!</definedName>
    <definedName name="CAL">#REF!</definedName>
    <definedName name="CALCULO" hidden="1">{#N/A,#N/A,FALSE,"F-01"}</definedName>
    <definedName name="CAM.FRM">#REF!</definedName>
    <definedName name="camargo">#REF!</definedName>
    <definedName name="Caminho">#REF!</definedName>
    <definedName name="CAMP">#REF!</definedName>
    <definedName name="CancelDialog1">#REF!</definedName>
    <definedName name="CANT.">#REF!</definedName>
    <definedName name="canteiro_de_obras">#REF!</definedName>
    <definedName name="capa">#REF!</definedName>
    <definedName name="capa1">#REF!</definedName>
    <definedName name="CAPA3">#REF!</definedName>
    <definedName name="CAPA4">#REF!</definedName>
    <definedName name="CAPTALOUNAO">#REF!</definedName>
    <definedName name="cargos">#REF!</definedName>
    <definedName name="Carimbo">#REF!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LA" hidden="1">#REF!</definedName>
    <definedName name="Carros">#REF!</definedName>
    <definedName name="Carros1">#REF!</definedName>
    <definedName name="CARTÃO4">#REF!</definedName>
    <definedName name="CArtaz" hidden="1">#REF!</definedName>
    <definedName name="cas" hidden="1">#REF!</definedName>
    <definedName name="CashFlow">#REF!</definedName>
    <definedName name="CashFlowProforma">#REF!</definedName>
    <definedName name="CashFlowProformaDates">#REF!</definedName>
    <definedName name="categori45">#REF!</definedName>
    <definedName name="Categoria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egory">#REF!</definedName>
    <definedName name="CATO">#REF!</definedName>
    <definedName name="CATORZE">#REF!</definedName>
    <definedName name="Causas">#REF!</definedName>
    <definedName name="CAUX2">OFFSET(#REF!,0,0,COUNTA(#REF!)+1,1)</definedName>
    <definedName name="CAUX3">OFFSET(#REF!,0,0,COUNTA(#REF!)+1,1)</definedName>
    <definedName name="cb">#REF!</definedName>
    <definedName name="CBU">#REF!</definedName>
    <definedName name="CBUQB">#REF!</definedName>
    <definedName name="CCBA.FRM">#REF!</definedName>
    <definedName name="ccc" hidden="1">{#N/A,#N/A,FALSE,"Plan1";#N/A,#N/A,FALSE,"Plan2"}</definedName>
    <definedName name="ççç" hidden="1">{#N/A,#N/A,FALSE,"Plan1";#N/A,#N/A,FALSE,"Plan2"}</definedName>
    <definedName name="cccc" hidden="1">{#N/A,#N/A,FALSE,"Plan1";#N/A,#N/A,FALSE,"Plan2"}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D">#REF!</definedName>
    <definedName name="CDB">#REF!</definedName>
    <definedName name="cdfv">#REF!</definedName>
    <definedName name="cdvthd">#REF!</definedName>
    <definedName name="CE.FRM">#REF!</definedName>
    <definedName name="cef" hidden="1">{#N/A,#N/A,FALSE,"Cronograma";#N/A,#N/A,FALSE,"Cronogr. 2"}</definedName>
    <definedName name="CEL">#REF!</definedName>
    <definedName name="CelCalculando">#REF!</definedName>
    <definedName name="CELULA">#REF!</definedName>
    <definedName name="CENTROS">#REF!</definedName>
    <definedName name="CER">#REF!</definedName>
    <definedName name="CestaExcel">#REF!</definedName>
    <definedName name="CFCG">#REF!</definedName>
    <definedName name="cff" hidden="1">{#N/A,#N/A,FALSE,"Cronograma";#N/A,#N/A,FALSE,"Cronogr. 2"}</definedName>
    <definedName name="cg" hidden="1">{"NORMAL",#N/A,FALSE,"02"}</definedName>
    <definedName name="CHAFQT">#REF!</definedName>
    <definedName name="CHAV">#REF!</definedName>
    <definedName name="chemical" hidden="1">{#N/A,#N/A,FALSE,"CCTV"}</definedName>
    <definedName name="chico">#REF!</definedName>
    <definedName name="CI">#REF!</definedName>
    <definedName name="CICLO_EST_POSTIPO">#REF!</definedName>
    <definedName name="CICLO_EST_PRETIPO">#REF!</definedName>
    <definedName name="CICLO_EST_TIPO">#REF!</definedName>
    <definedName name="cidades">#REF!</definedName>
    <definedName name="CIFIXA">#REF!</definedName>
    <definedName name="CIM">#REF!</definedName>
    <definedName name="CIMB">#REF!</definedName>
    <definedName name="CIMC">#REF!</definedName>
    <definedName name="CINC">#REF!</definedName>
    <definedName name="CINCO">#REF!</definedName>
    <definedName name="CITOTAL">#REF!</definedName>
    <definedName name="CIVAR">#REF!</definedName>
    <definedName name="çl">#REF!</definedName>
    <definedName name="CLAD" hidden="1">{"offequipsch",#N/A,FALSE,"GTC_Schedule";"onconstsch",#N/A,FALSE,"GTC_Schedule";"techsch",#N/A,FALSE,"GTC_Schedule";"totsch",#N/A,FALSE,"GTC_Schedule"}</definedName>
    <definedName name="CLADDING" hidden="1">{"offequipsch",#N/A,FALSE,"GTC_Schedule";"onconstsch",#N/A,FALSE,"GTC_Schedule";"techsch",#N/A,FALSE,"GTC_Schedule";"totsch",#N/A,FALSE,"GTC_Schedule"}</definedName>
    <definedName name="Class_Equipamentos">#REF!</definedName>
    <definedName name="Class_Mão_de_Obra">#REF!</definedName>
    <definedName name="Class_Materiais">#REF!</definedName>
    <definedName name="Classificação">#REF!</definedName>
    <definedName name="Classificação_ABC">#REF!</definedName>
    <definedName name="CLIENTE">#REF!</definedName>
    <definedName name="CLIENTE_SAP">#REF!</definedName>
    <definedName name="CLIMA">#REF!</definedName>
    <definedName name="Climatização">#REF!</definedName>
    <definedName name="çljkh">#REF!</definedName>
    <definedName name="Club_Park_Butantã">#REF!</definedName>
    <definedName name="CMA">#REF!</definedName>
    <definedName name="CMO">#REF!</definedName>
    <definedName name="CNI">#REF!</definedName>
    <definedName name="CO">#REF!</definedName>
    <definedName name="Cobertura">#REF!</definedName>
    <definedName name="COBERTURAS">#REF!</definedName>
    <definedName name="cod">#REF!</definedName>
    <definedName name="Cód.">"serv"</definedName>
    <definedName name="CÓD.ÍND">OFFSET(#REF!,0,0,1,COUNTA(#REF!))</definedName>
    <definedName name="COD_COMPOSIÇÃO">#REF!</definedName>
    <definedName name="code">#REF!</definedName>
    <definedName name="CODENOME1" hidden="1">#N/A</definedName>
    <definedName name="CODES1">#REF!</definedName>
    <definedName name="CÓDG">OFFSET(#REF!,0,0,COUNTA(#REF!),1)</definedName>
    <definedName name="CODIGO">#REF!</definedName>
    <definedName name="Código">#REF!</definedName>
    <definedName name="Código.">#REF!</definedName>
    <definedName name="CODINSUMO">#REF!</definedName>
    <definedName name="CODOR1">#REF!</definedName>
    <definedName name="CODOR15">#REF!</definedName>
    <definedName name="CODOR17">#REF!</definedName>
    <definedName name="CODOR18">#REF!</definedName>
    <definedName name="CODOR19">#REF!</definedName>
    <definedName name="CODOR2">#REF!</definedName>
    <definedName name="CODOR3">#REF!</definedName>
    <definedName name="CODOR4">#REF!</definedName>
    <definedName name="CODOR5">#REF!</definedName>
    <definedName name="CODOR6">#REF!</definedName>
    <definedName name="CODOR7">#REF!</definedName>
    <definedName name="CODOR8">#REF!</definedName>
    <definedName name="CODOR9">#REF!</definedName>
    <definedName name="CÓDT">OFFSET(#REF!,0,0,COUNTA(#REF!)+1,1)</definedName>
    <definedName name="cofins">#REF!</definedName>
    <definedName name="COGS">#REF!</definedName>
    <definedName name="COLSUB">#REF!</definedName>
    <definedName name="COMBUSTÍVEL">#REF!</definedName>
    <definedName name="COMEÇO">#REF!</definedName>
    <definedName name="comercial">#REF!</definedName>
    <definedName name="Comercial_Berrini">#REF!</definedName>
    <definedName name="COMISSIONAMENTO">#REF!</definedName>
    <definedName name="comp" hidden="1">{#N/A,#N/A,FALSE,"Cronograma";#N/A,#N/A,FALSE,"Cronogr. 2"}</definedName>
    <definedName name="completo">#REF!</definedName>
    <definedName name="COMPOSICAO">#REF!</definedName>
    <definedName name="COMPOSIÇÃO">#REF!</definedName>
    <definedName name="Composição_do_BDI">#REF!</definedName>
    <definedName name="Composições_com_fórmulas">#REF!</definedName>
    <definedName name="conc">#REF!</definedName>
    <definedName name="concorrentes" hidden="1">{#N/A,#N/A,FALSE,"Cronograma";#N/A,#N/A,FALSE,"Cronogr. 2"}</definedName>
    <definedName name="CONFIRMAR" hidden="1">{#N/A,#N/A,TRUE,"Quinzena 01 à 15-04-98 "}</definedName>
    <definedName name="cons">#REF!</definedName>
    <definedName name="Cons_equip" hidden="1">{"'장비'!$A$3:$M$12"}</definedName>
    <definedName name="conservação_de_rotina">#REF!</definedName>
    <definedName name="conservação_especial">#REF!</definedName>
    <definedName name="conservação_rodoviária">#REF!</definedName>
    <definedName name="CONST">#REF!</definedName>
    <definedName name="Consulta_itens_financeiros">#REF!</definedName>
    <definedName name="CONSUMOS">#REF!</definedName>
    <definedName name="CONT1">#REF!</definedName>
    <definedName name="CONT2">#REF!</definedName>
    <definedName name="CONT3">#REF!</definedName>
    <definedName name="contador">#REF!</definedName>
    <definedName name="CONTAIT">#REF!</definedName>
    <definedName name="CONTINGÊNCIA">#REF!</definedName>
    <definedName name="contrato">#REF!</definedName>
    <definedName name="contratos02" hidden="1">#REF!</definedName>
    <definedName name="CONTREC">#REF!</definedName>
    <definedName name="CONTRES">#REF!</definedName>
    <definedName name="Controle">#REF!</definedName>
    <definedName name="CONVERSÃO">#REF!</definedName>
    <definedName name="copiadowntown" hidden="1">{"características",#N/A,TRUE,"Imprime1";"ciclos",#N/A,TRUE,"Imprime1"}</definedName>
    <definedName name="corina3">#REF!</definedName>
    <definedName name="corte">#REF!</definedName>
    <definedName name="cortina_1">#REF!</definedName>
    <definedName name="cortina_2">#REF!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iza">#REF!</definedName>
    <definedName name="COVER2" hidden="1">{#N/A,#N/A,FALSE,"Ejector 1";#N/A,#N/A,FALSE,"Ejector 2"}</definedName>
    <definedName name="CPAV">#REF!</definedName>
    <definedName name="cpf1a">#REF!</definedName>
    <definedName name="CPONT">#REF!</definedName>
    <definedName name="CPR24A">#REF!</definedName>
    <definedName name="cpu">#REF!</definedName>
    <definedName name="CPU_LEED">#REF!</definedName>
    <definedName name="CPU_MECANICA">#REF!</definedName>
    <definedName name="CPUDOM">#REF!</definedName>
    <definedName name="cpugeral">#REF!</definedName>
    <definedName name="CPULT1">#REF!</definedName>
    <definedName name="CPULT2">#REF!</definedName>
    <definedName name="CPULT3">#REF!</definedName>
    <definedName name="CPULT4">#REF!</definedName>
    <definedName name="CPULT5">#REF!</definedName>
    <definedName name="CPULT6">#REF!</definedName>
    <definedName name="CPUparalelo">#REF!</definedName>
    <definedName name="CPUPSOK">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eche">#REF!</definedName>
    <definedName name="Créditos">#REF!</definedName>
    <definedName name="_xlnm.Criteria">#REF!</definedName>
    <definedName name="cron" hidden="1">{#N/A,#N/A,FALSE,"Cronograma";#N/A,#N/A,FALSE,"Cronogr. 2"}</definedName>
    <definedName name="CRONG">#REF!</definedName>
    <definedName name="Cronograma">#REF!</definedName>
    <definedName name="Cronograma_10">#REF!</definedName>
    <definedName name="Cronograma_11">#REF!</definedName>
    <definedName name="CRONOGRAMA_FÍSICO_FINANCEIRO">#REF!</definedName>
    <definedName name="CRONOPESO">#REF!</definedName>
    <definedName name="CRR13A">#REF!</definedName>
    <definedName name="crt" hidden="1">{#N/A,#N/A,FALSE,"GRAFICO";#N/A,#N/A,FALSE,"CAJA (2)";#N/A,#N/A,FALSE,"TERCEROS-PROMEDIO";#N/A,#N/A,FALSE,"CAJA";#N/A,#N/A,FALSE,"INGRESOS1995-2003";#N/A,#N/A,FALSE,"GASTOS1995-2003"}</definedName>
    <definedName name="CSDFSDAF">#REF!</definedName>
    <definedName name="CTD">#REF!</definedName>
    <definedName name="CTT03A">#REF!</definedName>
    <definedName name="CU">#REF!</definedName>
    <definedName name="CUI.FRM">#REF!</definedName>
    <definedName name="curta_1617">#REF!</definedName>
    <definedName name="CURTA1">#REF!</definedName>
    <definedName name="CURVA">#REF!</definedName>
    <definedName name="CURVA_36m">#REF!</definedName>
    <definedName name="Curva_ABC">#REF!</definedName>
    <definedName name="CurvaSbanco">#REF!</definedName>
    <definedName name="curvfor">#REF!</definedName>
    <definedName name="CUST_DIR_IND">#REF!</definedName>
    <definedName name="CUSTINDIRETO">#REF!</definedName>
    <definedName name="CUSTO">#REF!</definedName>
    <definedName name="CUSTO_DIR_IND">#REF!</definedName>
    <definedName name="Custo_Direto_de_Obras_Civis_e_Instalações_...........................................">#REF!</definedName>
    <definedName name="Custo_Material">#REF!</definedName>
    <definedName name="Custo_MdO">#REF!</definedName>
    <definedName name="CUSTO_OUTROS">#REF!</definedName>
    <definedName name="Custo_Outros1">#REF!</definedName>
    <definedName name="CUSTO_RASO">#REF!</definedName>
    <definedName name="CUSTO_TOTAL">#REF!</definedName>
    <definedName name="CUSTO_UN">#REF!</definedName>
    <definedName name="CUSTO_VAR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CustoIncorrido01">#REF!</definedName>
    <definedName name="CUSTOOBRA">#REF!</definedName>
    <definedName name="cv" hidden="1">#REF!</definedName>
    <definedName name="cvf" hidden="1">#REF!</definedName>
    <definedName name="cvffg">#REF!</definedName>
    <definedName name="cvgf" hidden="1">{"offequipsch",#N/A,FALSE,"GTC_Schedule";"onconstsch",#N/A,FALSE,"GTC_Schedule";"techsch",#N/A,FALSE,"GTC_Schedule";"totsch",#N/A,FALSE,"GTC_Schedule"}</definedName>
    <definedName name="CVGQ">#REF!</definedName>
    <definedName name="CW.FRM">#REF!</definedName>
    <definedName name="D">#REF!</definedName>
    <definedName name="D_CrewProductionRate_ProductionRateCalculator">#REF!</definedName>
    <definedName name="D_TotCrewHrs_ProductionRateCalculator">#REF!</definedName>
    <definedName name="D_TotWorkQty_ProductionRateCalculator">#REF!</definedName>
    <definedName name="da">#REF!</definedName>
    <definedName name="dadinho">#REF!</definedName>
    <definedName name="DADIS">#REF!</definedName>
    <definedName name="Dados">#REF!</definedName>
    <definedName name="DADOS_ENDERECO1">#REF!</definedName>
    <definedName name="DADOS_ENDERECO2">#REF!</definedName>
    <definedName name="DADOS_INCC_BASE">#REF!</definedName>
    <definedName name="DADOS_MES_BASE">#REF!</definedName>
    <definedName name="DADOS_NOME_OBRA">#REF!</definedName>
    <definedName name="Dados_obras">#REF!,#REF!,#REF!,#REF!,#REF!,#REF!</definedName>
    <definedName name="DADOS_PROPRIETARIO">#REF!</definedName>
    <definedName name="DADOS_REGIME_CTR">#REF!</definedName>
    <definedName name="Dados_Resumo">#REF!</definedName>
    <definedName name="DADOS_VERSAO_ORCTO">#REF!</definedName>
    <definedName name="DadosResumo">#REF!</definedName>
    <definedName name="DADOSVOZ">#REF!</definedName>
    <definedName name="DAF">#REF!</definedName>
    <definedName name="daniel">#REF!</definedName>
    <definedName name="dasd">#REF!</definedName>
    <definedName name="data">#REF!</definedName>
    <definedName name="DATA_BASE">#REF!</definedName>
    <definedName name="DATA_COTAÇÃO">#REF!</definedName>
    <definedName name="DATA_ENTREGA">#REF!</definedName>
    <definedName name="DATA_FECHA">#REF!</definedName>
    <definedName name="Data_Final">#REF!</definedName>
    <definedName name="DATA_INI">#REF!</definedName>
    <definedName name="Data_Inicio">#REF!</definedName>
    <definedName name="DATA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S">#REF!</definedName>
    <definedName name="DatasCommitted">#REF!</definedName>
    <definedName name="DatesEntrada">#REF!</definedName>
    <definedName name="DatesNominal">#REF!</definedName>
    <definedName name="DB">#REF!</definedName>
    <definedName name="DC">#REF!</definedName>
    <definedName name="dchart26" hidden="1">#REF!</definedName>
    <definedName name="dchart31" hidden="1">#REF!</definedName>
    <definedName name="dd" hidden="1">#REF!</definedName>
    <definedName name="ddd" hidden="1">{#N/A,#N/A,FALSE,"Plan1";#N/A,#N/A,FALSE,"Plan2"}</definedName>
    <definedName name="dddd" hidden="1">{#N/A,#N/A,FALSE,"BOQCIC";#N/A,#N/A,FALSE,"3Ds";#N/A,#N/A,FALSE,"COST DETAIL"}</definedName>
    <definedName name="ddddd" hidden="1">{#N/A,#N/A,FALSE,"Plan1";#N/A,#N/A,FALSE,"Plan2"}</definedName>
    <definedName name="DDDDDD" hidden="1">{#N/A,#N/A,FALSE,"이정표"}</definedName>
    <definedName name="DDDDDDDDD" hidden="1">{#N/A,#N/A,FALSE,"부대1"}</definedName>
    <definedName name="dddddddddddddd" hidden="1">{#N/A,#N/A,TRUE,"Basic";#N/A,#N/A,TRUE,"EXT-TABLE";#N/A,#N/A,TRUE,"STEEL";#N/A,#N/A,TRUE,"INT-Table";#N/A,#N/A,TRUE,"STEEL";#N/A,#N/A,TRUE,"Door"}</definedName>
    <definedName name="dddddddddddddddddddddddddd">#REF!</definedName>
    <definedName name="dddddddddddddppppppppp">#REF!</definedName>
    <definedName name="dddf" hidden="1">{"'장비'!$A$3:$M$12"}</definedName>
    <definedName name="DDFD" hidden="1">{#N/A,#N/A,FALSE,"CCTV"}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" hidden="1">{"NORMAL",#N/A,FALSE,"02"}</definedName>
    <definedName name="def" hidden="1">#REF!</definedName>
    <definedName name="definição">#REF!</definedName>
    <definedName name="Deletefromlist">#REF!</definedName>
    <definedName name="Demarcação">#REF!</definedName>
    <definedName name="Demarcações">#REF!</definedName>
    <definedName name="Demonstrativo">#REF!</definedName>
    <definedName name="densidade_cap">#REF!</definedName>
    <definedName name="DEPARA">#REF!</definedName>
    <definedName name="DEPARA_GERAL">#REF!</definedName>
    <definedName name="DEPÓSITO">#REF!</definedName>
    <definedName name="der">#REF!</definedName>
    <definedName name="DERIVQT">#REF!</definedName>
    <definedName name="des" hidden="1">#REF!</definedName>
    <definedName name="desc" hidden="1">{#N/A,#N/A,FALSE,"Plan1";#N/A,#N/A,FALSE,"Plan2"}</definedName>
    <definedName name="DESC1">#REF!</definedName>
    <definedName name="DESC2">#REF!</definedName>
    <definedName name="desconto">#REF!</definedName>
    <definedName name="Desconto_Esquadrias">#REF!</definedName>
    <definedName name="DESCR">"bds"</definedName>
    <definedName name="descricao">#REF!</definedName>
    <definedName name="DESCRIÇÃO_OBRA">#REF!</definedName>
    <definedName name="DESCRIÇÃO_POR_CÓDIGO">#REF!</definedName>
    <definedName name="Descrição_Total">#REF!</definedName>
    <definedName name="DESCRITIVO">#REF!</definedName>
    <definedName name="DESCRONI">#REF!</definedName>
    <definedName name="Desmatamento_destocamento_e_limpeza">#REF!</definedName>
    <definedName name="DESP">#REF!</definedName>
    <definedName name="DespFatur">#REF!</definedName>
    <definedName name="DEST3">#REF!</definedName>
    <definedName name="DEST4">#REF!</definedName>
    <definedName name="DEST4A">#REF!</definedName>
    <definedName name="DESTINO">#REF!</definedName>
    <definedName name="DevRevendaExterna">#REF!</definedName>
    <definedName name="DevRevendaFabrica">#REF!</definedName>
    <definedName name="DevSACExterna">#REF!</definedName>
    <definedName name="DevSACFabrica">#REF!</definedName>
    <definedName name="DEZ">#REF!</definedName>
    <definedName name="DEZENOVE">#REF!</definedName>
    <definedName name="DEZESSEIS">#REF!</definedName>
    <definedName name="DEZESSETE">#REF!</definedName>
    <definedName name="DEZN">#REF!</definedName>
    <definedName name="DEZO">#REF!</definedName>
    <definedName name="DEZOITO">#REF!</definedName>
    <definedName name="DEZS">#REF!</definedName>
    <definedName name="DEZT">#REF!</definedName>
    <definedName name="DF">#REF!</definedName>
    <definedName name="DFADFA">#REF!</definedName>
    <definedName name="DFAFAF">#REF!</definedName>
    <definedName name="dfaha">#REF!</definedName>
    <definedName name="dfas" hidden="1">{#N/A,#N/A,FALSE,"PERSONAL";#N/A,#N/A,FALSE,"explotación";#N/A,#N/A,FALSE,"generales"}</definedName>
    <definedName name="dfasd" hidden="1">{#N/A,#N/A,FALSE,"PERSONAL";#N/A,#N/A,FALSE,"explotación";#N/A,#N/A,FALSE,"generales"}</definedName>
    <definedName name="DFASDF" hidden="1">{#N/A,#N/A,FALSE,"Assumptions";#N/A,#N/A,FALSE,"Volumes";#N/A,#N/A,FALSE,"Pricing";#N/A,#N/A,FALSE,"Variable Cost";#N/A,#N/A,FALSE,"Investment";#N/A,#N/A,FALSE,"Profitability";#N/A,#N/A,FALSE,"Business Comparison"}</definedName>
    <definedName name="dfd">#REF!</definedName>
    <definedName name="dfda">#REF!</definedName>
    <definedName name="dfdf" hidden="1">{"'장비'!$A$3:$M$12"}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FDF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GBB" hidden="1">#REF!</definedName>
    <definedName name="dfhjdf" hidden="1">{"sheet1",#N/A,FALSE,"easheet";"sheet2a",#N/A,FALSE,"easheet";"sheet2b",#N/A,FALSE,"easheet";"sheet3",#N/A,FALSE,"easheet"}</definedName>
    <definedName name="dfijvnqienvvnjv">#REF!</definedName>
    <definedName name="dfjtr" hidden="1">{"offequipsch",#N/A,FALSE,"GTC_Schedule";"onconstsch",#N/A,FALSE,"GTC_Schedule";"techsch",#N/A,FALSE,"GTC_Schedule";"totsch",#N/A,FALSE,"GTC_Schedule"}</definedName>
    <definedName name="dfr" hidden="1">#REF!</definedName>
    <definedName name="dfs">#REF!</definedName>
    <definedName name="dfsadfasf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DGA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hidden="1">{"offequipsch",#N/A,FALSE,"GTC_Schedule";"onconstsch",#N/A,FALSE,"GTC_Schedule";"techsch",#N/A,FALSE,"GTC_Schedule";"totsch",#N/A,FALSE,"GTC_Schedule"}</definedName>
    <definedName name="DGFD">#REF!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gfdg" hidden="1">{#N/A,#N/A,FALSE,"Plan1";#N/A,#N/A,FALSE,"Plan2"}</definedName>
    <definedName name="dghdf" hidden="1">{"offequipsch",#N/A,FALSE,"GTC_Schedule";"onconstsch",#N/A,FALSE,"GTC_Schedule";"techsch",#N/A,FALSE,"GTC_Schedule";"totsch",#N/A,FALSE,"GTC_Schedule"}</definedName>
    <definedName name="DH">#REF!</definedName>
    <definedName name="dia3estac">#REF!</definedName>
    <definedName name="diaestaca">#REF!</definedName>
    <definedName name="DIAFPREMOLD">#REF!</definedName>
    <definedName name="DIAFRAF_INLOCO">#REF!</definedName>
    <definedName name="DIAFRAINLOCO">#REF!</definedName>
    <definedName name="DIAFRAPREMOL">#REF!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ambase">#REF!</definedName>
    <definedName name="Dias_correção">#REF!</definedName>
    <definedName name="DIAS_UTEIS">#REF!</definedName>
    <definedName name="DIFQT">#REF!</definedName>
    <definedName name="DIR_OPER">#REF!</definedName>
    <definedName name="DIR_TECNICO">#REF!</definedName>
    <definedName name="DirectLabor" hidden="1">{#N/A,#N/A,FALSE,"CCTV"}</definedName>
    <definedName name="DirectLobor" hidden="1">{#N/A,#N/A,FALSE,"CCTV"}</definedName>
    <definedName name="DIRETORIA">#REF!</definedName>
    <definedName name="diretorias">#REF!</definedName>
    <definedName name="DIST">#REF!</definedName>
    <definedName name="DIST1">#REF!</definedName>
    <definedName name="DIST10">#REF!</definedName>
    <definedName name="DistCidade">#REF!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STRIOVER">#REF!</definedName>
    <definedName name="Divisórias">#REF!</definedName>
    <definedName name="DJ">#REF!</definedName>
    <definedName name="dkdkdkdkd" hidden="1">{#N/A,#N/A,FALSE,"명세표"}</definedName>
    <definedName name="DL" hidden="1">{#N/A,#N/A,FALSE,"이정표"}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mt_aterro">#REF!</definedName>
    <definedName name="dmt_bfora">#REF!</definedName>
    <definedName name="DNT">#REF!</definedName>
    <definedName name="DNTI">#REF!</definedName>
    <definedName name="DOA">#REF!</definedName>
    <definedName name="DOCAS">#REF!</definedName>
    <definedName name="DOCAS_2">#REF!</definedName>
    <definedName name="DOCAS_5">#REF!</definedName>
    <definedName name="DOCAS_6">#REF!</definedName>
    <definedName name="DOCAS_7">#REF!</definedName>
    <definedName name="DOCUMENT">#REF!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LAR">#REF!</definedName>
    <definedName name="Double">#REF!</definedName>
    <definedName name="DOZE">#REF!</definedName>
    <definedName name="DR">#REF!</definedName>
    <definedName name="DRE">#REF!</definedName>
    <definedName name="dreaa">#REF!</definedName>
    <definedName name="Dren_preços">#REF!</definedName>
    <definedName name="drena">#REF!</definedName>
    <definedName name="DRENAGEM">#REF!</definedName>
    <definedName name="DRF" hidden="1">#REF!</definedName>
    <definedName name="drg" hidden="1">{"'단계별시설공사비'!$A$3:$K$51"}</definedName>
    <definedName name="DRI">#REF!</definedName>
    <definedName name="drtr" hidden="1">#REF!</definedName>
    <definedName name="drtrt" hidden="1">{"'Estimativa de Lançamento-JAN'!$A$1:$AI$85"}</definedName>
    <definedName name="ds">#REF!</definedName>
    <definedName name="DS1ProposalWork\2000\0042\Design\HRSG9S9Design\Cards\Design9S9B\DesignB_Plaquemine" hidden="1">#REF!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ahgd">#REF!</definedName>
    <definedName name="d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ds" hidden="1">{#N/A,#N/A,FALSE,"Plan1";#N/A,#N/A,FALSE,"Plan2"}</definedName>
    <definedName name="dsdsds">#REF!</definedName>
    <definedName name="DSFAFSA" hidden="1">{"Características",#N/A,TRUE,"Imprime1";"Custos",#N/A,TRUE,"Imprime1"}</definedName>
    <definedName name="dsfasdgasgdsag">#REF!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" hidden="1">{"sheet1",#N/A,FALSE,"easheet";"sheet2a",#N/A,FALSE,"easheet";"sheet2b",#N/A,FALSE,"easheet";"sheet3",#N/A,FALSE,"easheet"}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T">#REF!</definedName>
    <definedName name="dtert" hidden="1">{"offequipsch",#N/A,FALSE,"GTC_Schedule";"onconstsch",#N/A,FALSE,"GTC_Schedule";"techsch",#N/A,FALSE,"GTC_Schedule";"totsch",#N/A,FALSE,"GTC_Schedule"}</definedName>
    <definedName name="Du_Champ">#REF!</definedName>
    <definedName name="DVF" hidden="1">#REF!</definedName>
    <definedName name="dw">#REF!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zg" hidden="1">{#N/A,#N/A,FALSE,"Tabelle1"}</definedName>
    <definedName name="e" hidden="1">#REF!</definedName>
    <definedName name="E_AntiStrip_AsphaltMixDesigner">#REF!</definedName>
    <definedName name="E_AR2000_AsphaltMixDesigner">#REF!</definedName>
    <definedName name="E_AR4000_AsphaltMixDesigner">#REF!</definedName>
    <definedName name="E_MAblend1_AsphaltMixDesigner">#REF!</definedName>
    <definedName name="E_MAblend2_AsphaltMixDesigner">#REF!</definedName>
    <definedName name="E_MAcourse_AsphaltMixDesigner">#REF!</definedName>
    <definedName name="E_MAhome_AsphaltMixDesigner">#REF!</definedName>
    <definedName name="E_MAintermed_AsphaltMixDesigner">#REF!</definedName>
    <definedName name="E_MixCostPerTon_AsphaltMixDesigner">#REF!</definedName>
    <definedName name="EAP_SAP">#REF!</definedName>
    <definedName name="EAT">#REF!</definedName>
    <definedName name="Ebitda" hidden="1">{#N/A,#N/A,FALSE,"GRAFICO";#N/A,#N/A,FALSE,"CAJA (2)";#N/A,#N/A,FALSE,"TERCEROS-PROMEDIO";#N/A,#N/A,FALSE,"CAJA";#N/A,#N/A,FALSE,"INGRESOS1995-2003";#N/A,#N/A,FALSE,"GASTOS1995-2003"}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hart31" hidden="1">#REF!</definedName>
    <definedName name="Econ">#REF!</definedName>
    <definedName name="EconItems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" hidden="1">#REF!</definedName>
    <definedName name="EDIFICAÇÕES">#N/A</definedName>
    <definedName name="ed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" hidden="1">{#N/A,#N/A,FALSE,"단가표지"}</definedName>
    <definedName name="EE_EDIFICIO">#REF!</definedName>
    <definedName name="ee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EEE" hidden="1">{#N/A,#N/A,TRUE,"Basic";#N/A,#N/A,TRUE,"EXT-TABLE";#N/A,#N/A,TRUE,"STEEL";#N/A,#N/A,TRUE,"INT-Table";#N/A,#N/A,TRUE,"STEEL";#N/A,#N/A,TRUE,"Door"}</definedName>
    <definedName name="eeeee" hidden="1">#REF!</definedName>
    <definedName name="eeeeeeee">#REF!</definedName>
    <definedName name="e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fdwerwrwe" hidden="1">#REF!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ICIÊNCIA">#REF!</definedName>
    <definedName name="Eficiência1">#REF!</definedName>
    <definedName name="eg">#REF!</definedName>
    <definedName name="EJ">#REF!</definedName>
    <definedName name="EL">#REF!</definedName>
    <definedName name="ele">#REF!</definedName>
    <definedName name="ELÉTRICA">#N/A</definedName>
    <definedName name="ELEVADORES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U">#REF!</definedName>
    <definedName name="EMA">#REF!</definedName>
    <definedName name="embalagem">#REF!</definedName>
    <definedName name="emilio1" hidden="1">#N/A</definedName>
    <definedName name="Emilio2" hidden="1">#N/A</definedName>
    <definedName name="EMO">#REF!</definedName>
    <definedName name="EMPDEST">"003"</definedName>
    <definedName name="Empolamento">#REF!</definedName>
    <definedName name="Empreend1">#REF!</definedName>
    <definedName name="Empreend2">#REF!</definedName>
    <definedName name="Empreend3">#REF!</definedName>
    <definedName name="Empreend4">#REF!</definedName>
    <definedName name="Empreend5">#REF!</definedName>
    <definedName name="Empresa">#REF!</definedName>
    <definedName name="empresas">#REF!</definedName>
    <definedName name="ENC">#REF!</definedName>
    <definedName name="enchoras">#REF!</definedName>
    <definedName name="encmes">#REF!</definedName>
    <definedName name="Entrada">#REF!</definedName>
    <definedName name="EntradaDates">#REF!</definedName>
    <definedName name="Entradas">#N/A</definedName>
    <definedName name="EPI">#REF!</definedName>
    <definedName name="EPVT">#REF!</definedName>
    <definedName name="eq">#REF!</definedName>
    <definedName name="EQ.FRM">#REF!</definedName>
    <definedName name="EQPTO">#REF!</definedName>
    <definedName name="EQUIP">#REF!</definedName>
    <definedName name="EQUIPA">#REF!</definedName>
    <definedName name="equipamento">#REF!</definedName>
    <definedName name="Equipamentos">#REF!</definedName>
    <definedName name="Equipamentos1">#REF!</definedName>
    <definedName name="Equipe">#REF!</definedName>
    <definedName name="equipe_de_projeto__gerenciamento__meio_ambiente_e_obra">#REF!</definedName>
    <definedName name="EQUIV">#REF!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hidden="1">#REF!</definedName>
    <definedName name="ERD" hidden="1">{#N/A,#N/A,TRUE,"Basic";#N/A,#N/A,TRUE,"EXT-TABLE";#N/A,#N/A,TRUE,"STEEL";#N/A,#N/A,TRUE,"INT-Table";#N/A,#N/A,TRUE,"STEEL";#N/A,#N/A,TRUE,"Door"}</definedName>
    <definedName name="erg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ik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3" hidden="1">{#N/A,#N/A,FALSE,"Cronograma";#N/A,#N/A,FALSE,"Cronogr. 2"}</definedName>
    <definedName name="ert" hidden="1">{"'장비'!$A$3:$M$12"}</definedName>
    <definedName name="erte" hidden="1">#REF!</definedName>
    <definedName name="erty" hidden="1">{"'장비'!$A$3:$M$12"}</definedName>
    <definedName name="e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S.FRM">#REF!</definedName>
    <definedName name="Escavação_Manual_de_Valas">#REF!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colhaArea">#REF!</definedName>
    <definedName name="EscolhaUnidade">#REF!</definedName>
    <definedName name="esdr" hidden="1">{#N/A,#N/A,FALSE,"ROTINA";#N/A,#N/A,FALSE,"ITENS";#N/A,#N/A,FALSE,"ACOMP"}</definedName>
    <definedName name="ESM">#REF!</definedName>
    <definedName name="EspecLast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quadrias">#REF!</definedName>
    <definedName name="ESQUADRIAS.FERRO">#REF!</definedName>
    <definedName name="ESQUADRIAS.MADEIRA">#REF!</definedName>
    <definedName name="ess">#REF!</definedName>
    <definedName name="EssLatest">"Enero"</definedName>
    <definedName name="EssOptions">"A2100000000021100011001100000_01-00"</definedName>
    <definedName name="est">#REF!</definedName>
    <definedName name="estaca">#REF!</definedName>
    <definedName name="estaca3">#REF!</definedName>
    <definedName name="EstacaFinal">#REF!</definedName>
    <definedName name="EstacaInicial">#REF!</definedName>
    <definedName name="ESTACIONAMENTO">#REF!</definedName>
    <definedName name="ESTACIONAMENTO_2">#REF!</definedName>
    <definedName name="ESTACIONAMENTO_5">#REF!</definedName>
    <definedName name="ESTACIONAMENTO_6">#REF!</definedName>
    <definedName name="ESTACIONAMENTO_7">#REF!</definedName>
    <definedName name="ESTADO">#REF!</definedName>
    <definedName name="ESTADOS">#REF!</definedName>
    <definedName name="ESTESCAVADA">#REF!</definedName>
    <definedName name="ESTFRANKI">#REF!</definedName>
    <definedName name="ESTMETAL">#REF!</definedName>
    <definedName name="ESTPREMOLD">#REF!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IZ">#REF!</definedName>
    <definedName name="etmyymym" hidden="1">{#N/A,#N/A,FALSE,"ENG'G(보호계전기)"}</definedName>
    <definedName name="EU">#REF!</definedName>
    <definedName name="EV__LASTREFTIME__" hidden="1">39965.7223611111</definedName>
    <definedName name="EVA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cel_BuiltIn__FilterDatabase_1">#REF!</definedName>
    <definedName name="Excel_BuiltIn__FilterDatabase_10">#REF!</definedName>
    <definedName name="Excel_BuiltIn__FilterDatabase_10_1">#REF!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17">#REF!</definedName>
    <definedName name="Excel_BuiltIn__FilterDatabase_18">#REF!</definedName>
    <definedName name="Excel_BuiltIn__FilterDatabase_2">#REF!</definedName>
    <definedName name="Excel_BuiltIn__FilterDatabase_3">"$#REF!.$A$5:$A$193"</definedName>
    <definedName name="Excel_BuiltIn__FilterDatabase_3_1">#REF!</definedName>
    <definedName name="Excel_BuiltIn__FilterDatabase_3_1_1">#REF!</definedName>
    <definedName name="Excel_BuiltIn__FilterDatabase_3_4">#REF!</definedName>
    <definedName name="Excel_BuiltIn__FilterDatabase_3_5">#REF!</definedName>
    <definedName name="Excel_BuiltIn__FilterDatabase_3_6">#REF!</definedName>
    <definedName name="Excel_BuiltIn__FilterDatabase_3_7">#REF!</definedName>
    <definedName name="Excel_BuiltIn__FilterDatabase_3_8">#REF!</definedName>
    <definedName name="Excel_BuiltIn__FilterDatabase_3_9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5_1">#REF!</definedName>
    <definedName name="Excel_BuiltIn__FilterDatabase_5_1_1">#REF!</definedName>
    <definedName name="Excel_BuiltIn__FilterDatabase_6">#REF!</definedName>
    <definedName name="Excel_BuiltIn__FilterDatabase_6_1">#REF!</definedName>
    <definedName name="Excel_BuiltIn__FilterDatabase_7">#REF!</definedName>
    <definedName name="Excel_BuiltIn__FilterDatabase_7_1">#REF!</definedName>
    <definedName name="Excel_BuiltIn__FilterDatabase_8">#REF!</definedName>
    <definedName name="Excel_BuiltIn__FilterDatabase_8_1">#REF!</definedName>
    <definedName name="Excel_BuiltIn__FilterDatabase_9">#REF!</definedName>
    <definedName name="Excel_BuiltIn__FilterDatabase_9_1">#REF!</definedName>
    <definedName name="Excel_BuiltIn_Criteria">#REF!</definedName>
    <definedName name="Excel_BuiltIn_Criteria_2">#REF!</definedName>
    <definedName name="Excel_BuiltIn_Criteria_5">#REF!</definedName>
    <definedName name="Excel_BuiltIn_Criteria_6">#REF!</definedName>
    <definedName name="Excel_BuiltIn_Criteria_7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2">#REF!</definedName>
    <definedName name="Excel_BuiltIn_Print_Area_2_1">#REF!</definedName>
    <definedName name="Excel_BuiltIn_Print_Area_3">#REF!</definedName>
    <definedName name="Excel_BuiltIn_Print_Area_3_1">"$#REF!.$A$1:$H$228"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">#REF!</definedName>
    <definedName name="Excel_BuiltIn_Print_Area_4_1">"$#REF!.$B$1:$G$22016"</definedName>
    <definedName name="Excel_BuiltIn_Print_Area_4_1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6">#REF!</definedName>
    <definedName name="Excel_BuiltIn_Print_Area_5_7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8">(#REF!,#REF!)</definedName>
    <definedName name="Excel_BuiltIn_Print_Area_8_1">#REF!</definedName>
    <definedName name="Excel_BuiltIn_Print_Area_8_1_1">(#REF!,#REF!)</definedName>
    <definedName name="Excel_BuiltIn_Print_Area_8_1_1_1">(#REF!,#REF!)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Titles">#REF!</definedName>
    <definedName name="Excel_BuiltIn_Print_Titles_1_1">#REF!</definedName>
    <definedName name="Excel_BuiltIn_Print_Titles_1_1_1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2">#REF!</definedName>
    <definedName name="Excel_BuiltIn_Print_Titles_3">#REF!</definedName>
    <definedName name="Excel_BuiltIn_Print_Titles_3_1">"$#REF!.$A$1:$IV$6"</definedName>
    <definedName name="Excel_BuiltIn_Print_Titles_3_1_1">#REF!</definedName>
    <definedName name="Excel_BuiltIn_Print_Titles_3_1_1_1">#REF!</definedName>
    <definedName name="Excel_BuiltIn_Print_Titles_3_4">#REF!</definedName>
    <definedName name="Excel_BuiltIn_Print_Titles_3_5">#REF!</definedName>
    <definedName name="Excel_BuiltIn_Print_Titles_3_6">#REF!</definedName>
    <definedName name="Excel_BuiltIn_Print_Titles_3_7">#REF!</definedName>
    <definedName name="Excel_BuiltIn_Print_Titles_3_8">#REF!</definedName>
    <definedName name="Excel_BuiltIn_Print_Titles_3_9">#REF!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8">#REF!</definedName>
    <definedName name="Excel_BuiltIn_Print_Titles_9">#REF!</definedName>
    <definedName name="Excel_BuiltIn_Print_Titles_9_1">#REF!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OMAXIMA">#REF!</definedName>
    <definedName name="Extenso">#N/A</definedName>
    <definedName name="Extract_MI">#REF!</definedName>
    <definedName name="eyteyt" hidden="1">{#N/A,#N/A,FALSE,"CCTV"}</definedName>
    <definedName name="F">#REF!</definedName>
    <definedName name="F_Abut1FormSF_BridgeTakeOff">#REF!</definedName>
    <definedName name="F_Abut1pccCY_BridgeTakeOff">#REF!</definedName>
    <definedName name="F_Abut2FormSF_BridgeTakeOff">#REF!</definedName>
    <definedName name="F_Abut2pccCY_BridgeTakeOff">#REF!</definedName>
    <definedName name="F_ApproachFormSF_BridgeTakeOff">#REF!</definedName>
    <definedName name="F_ApproachpccCY_BridgeTakeOff">#REF!</definedName>
    <definedName name="F_BarrierFormSF_BridgeTakeOff">#REF!</definedName>
    <definedName name="F_BarrierpccCY_BridgeTakeOff">#REF!</definedName>
    <definedName name="F_CapFormSF_BridgeTakeOff">#REF!</definedName>
    <definedName name="F_CappccCY_BridgeTakeOff">#REF!</definedName>
    <definedName name="F_ColumnFormSF_BridgeTakeOff">#REF!</definedName>
    <definedName name="F_ColumnpccCY_BridgeTakeOff">#REF!</definedName>
    <definedName name="F_DeckFormSF_BridgeTakeOff">#REF!</definedName>
    <definedName name="F_DeckpccCY_BridgeTakeOff">#REF!</definedName>
    <definedName name="F_FootingFormSF_BridgeTakeOff">#REF!</definedName>
    <definedName name="F_FootingpccCY_BridgeTakeOff">#REF!</definedName>
    <definedName name="F16A">#REF!</definedName>
    <definedName name="F16B">#REF!</definedName>
    <definedName name="fa" hidden="1">{#N/A,#N/A,FALSE,"Work progress mensile";#N/A,#N/A,FALSE,"Work progress mensile IE1"}</definedName>
    <definedName name="FAB">"Figura 3"</definedName>
    <definedName name="faber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ábrica">#REF!</definedName>
    <definedName name="FACULDADE">#REF!</definedName>
    <definedName name="fafd" hidden="1">#REF!</definedName>
    <definedName name="FAIXA1">#REF!</definedName>
    <definedName name="FAIXA2">#REF!</definedName>
    <definedName name="FAIXA3">#REF!</definedName>
    <definedName name="FAIXA4">#REF!</definedName>
    <definedName name="FAIXA5">#REF!</definedName>
    <definedName name="FAIXA6">#REF!</definedName>
    <definedName name="FAL">#REF!</definedName>
    <definedName name="FAMILIAS">#REF!</definedName>
    <definedName name="fasdfasd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asdfasfz" hidden="1">{#N/A,#N/A,FALSE,"PERSONAL";#N/A,#N/A,FALSE,"explotación";#N/A,#N/A,FALSE,"generales"}</definedName>
    <definedName name="fasdfsad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asdfsafd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asdsd" hidden="1">{#N/A,#N/A,FALSE,"PERSONAL";#N/A,#N/A,FALSE,"explotación";#N/A,#N/A,FALSE,"generales"}</definedName>
    <definedName name="FASEAMENTO">#REF!</definedName>
    <definedName name="fasfasf" hidden="1">{#N/A,#N/A,TRUE,"Quinzena 01 à 15-04-98 "}</definedName>
    <definedName name="fasfsdfsdfasdfsdfsd" hidden="1">{#N/A,#N/A,TRUE,"Basic";#N/A,#N/A,TRUE,"EXT-TABLE";#N/A,#N/A,TRUE,"STEEL";#N/A,#N/A,TRUE,"INT-Table";#N/A,#N/A,TRUE,"STEEL";#N/A,#N/A,TRUE,"Door"}</definedName>
    <definedName name="Fator_K">#REF!</definedName>
    <definedName name="FATORK">#REF!</definedName>
    <definedName name="FBancaria">#REF!</definedName>
    <definedName name="FC2A">#REF!</definedName>
    <definedName name="fchart31" hidden="1">#REF!</definedName>
    <definedName name="FCK_EST_PRETIPO">#REF!</definedName>
    <definedName name="FCK_EST_TIPO">#REF!</definedName>
    <definedName name="FCK_FND_RASA">#REF!</definedName>
    <definedName name="fd" hidden="1">{"sheet1",#N/A,FALSE,"easheet";"sheet2a",#N/A,FALSE,"easheet";"sheet2b",#N/A,FALSE,"easheet";"sheet3",#N/A,FALSE,"easheet"}</definedName>
    <definedName name="fddf" hidden="1">{"'8'!$B$1:$I$46"}</definedName>
    <definedName name="FDDFASD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g">#REF!</definedName>
    <definedName name="fdgaf" hidden="1">{#N/A,#N/A,FALSE,"Plan1";#N/A,#N/A,FALSE,"Plan2"}</definedName>
    <definedName name="fdhgfdf" hidden="1">{#N/A,#N/A,FALSE,"Plan1";#N/A,#N/A,FALSE,"Plan2"}</definedName>
    <definedName name="fdnhgf" hidden="1">{"'Estimativa de Lançamento-JAN'!$A$1:$AI$85"}</definedName>
    <definedName name="fdw">#REF!</definedName>
    <definedName name="fe" hidden="1">{"DECIMAL",#N/A,FALSE,"02"}</definedName>
    <definedName name="fe_areia">#REF!</definedName>
    <definedName name="FERR">#REF!</definedName>
    <definedName name="FERRAGENS">#N/A</definedName>
    <definedName name="FEV00">#REF!</definedName>
    <definedName name="ff" hidden="1">{#N/A,#N/A,FALSE,"CCTV"}</definedName>
    <definedName name="FFF" hidden="1">#REF!</definedName>
    <definedName name="fffefes">#REF!</definedName>
    <definedName name="ffff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f" hidden="1">{#N/A,#N/A,FALSE,"Plan1";#N/A,#N/A,FALSE,"Plan2"}</definedName>
    <definedName name="ffffff" hidden="1">{#N/A,#N/A,FALSE,"CCTV"}</definedName>
    <definedName name="FFFFFFF" hidden="1">#REF!</definedName>
    <definedName name="FFFFFFFFFF" hidden="1">#REF!</definedName>
    <definedName name="fffffffg" hidden="1">{"'장비'!$A$3:$M$12"}</definedName>
    <definedName name="ffgfg" hidden="1">{"'장비'!$A$3:$M$12"}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g" hidden="1">{"'장비'!$A$3:$M$12"}</definedName>
    <definedName name="fgh" hidden="1">{#N/A,#N/A,FALSE,"Work progress mensile";#N/A,#N/A,FALSE,"Work progress mensile IE1"}</definedName>
    <definedName name="fghfh" hidden="1">{"'Estimativa de Lançamento-JAN'!$A$1:$AI$85"}</definedName>
    <definedName name="FGJHFGK" hidden="1">{#N/A,#N/A,FALSE,"Plan1";#N/A,#N/A,FALSE,"Plan2"}</definedName>
    <definedName name="fgm" hidden="1">{#N/A,#N/A,FALSE,"Work progress mensile";#N/A,#N/A,FALSE,"Work progress mensile IE1"}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hgjfghfghgf" hidden="1">{#N/A,#N/A,FALSE,"CCTV"}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e1" hidden="1">{"offequipsch",#N/A,FALSE,"GTC_Schedule";"onconstsch",#N/A,FALSE,"GTC_Schedule";"techsch",#N/A,FALSE,"GTC_Schedule";"totsch",#N/A,FALSE,"GTC_Schedule"}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{#N/A,#N/A,TRUE,"Quinzena 01 à 15-04-98 "}</definedName>
    <definedName name="fin_1617">#REF!</definedName>
    <definedName name="FINAL">#REF!</definedName>
    <definedName name="fio" hidden="1">{"DECIMAL",#N/A,FALSE,"02"}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>#REF!</definedName>
    <definedName name="FL_2">#REF!</definedName>
    <definedName name="FL_3">#REF!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1">#REF!</definedName>
    <definedName name="fluxo2">#REF!</definedName>
    <definedName name="FM">#REF!</definedName>
    <definedName name="FM1ProposalWork\2000\0042\Design\HRSG9S9Design\Cards\Design9S9B\DesignB_Plaquemine" hidden="1">#REF!</definedName>
    <definedName name="FN">#REF!</definedName>
    <definedName name="folha">#REF!</definedName>
    <definedName name="folhas">#REF!</definedName>
    <definedName name="FOM">#REF!</definedName>
    <definedName name="FOR" hidden="1">{#N/A,#N/A,FALSE,"CCTV"}</definedName>
    <definedName name="form01a">#REF!</definedName>
    <definedName name="form01b">#REF!</definedName>
    <definedName name="FORMAT" hidden="1">{#N/A,#N/A,FALSE,"CCTV"}</definedName>
    <definedName name="Formatação">#REF!</definedName>
    <definedName name="Formato_da_Loja">#REF!</definedName>
    <definedName name="FORMATOS">#REF!</definedName>
    <definedName name="FORMULAS">#REF!</definedName>
    <definedName name="Fornecedor" hidden="1">{#N/A,#N/A,FALSE,"Profit Status";#N/A,#N/A,FALSE,"Invest";#N/A,#N/A,FALSE,"Revenue";#N/A,#N/A,FALSE,"Variable Cost";#N/A,#N/A,FALSE,"Options &amp; Series"}</definedName>
    <definedName name="FORRO">#REF!</definedName>
    <definedName name="foto" hidden="1">{"DECIMAL",#N/A,FALSE,"02"}</definedName>
    <definedName name="FOTOS1">#REF!</definedName>
    <definedName name="fr" hidden="1">{#N/A,#N/A,FALSE,"Work progress mensile";#N/A,#N/A,FALSE,"Work progress mensile IE1"}</definedName>
    <definedName name="FRP">#REF!</definedName>
    <definedName name="FRWEG">#REF!</definedName>
    <definedName name="fsda" hidden="1">{#N/A,#N/A,TRUE,"Basic";#N/A,#N/A,TRUE,"EXT-TABLE";#N/A,#N/A,TRUE,"STEEL";#N/A,#N/A,TRUE,"INT-Table";#N/A,#N/A,TRUE,"STEEL";#N/A,#N/A,TRUE,"Door"}</definedName>
    <definedName name="fsdafsadfsadfs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sdanhgty" hidden="1">{"sheet1",#N/A,FALSE,"easheet";"sheet2a",#N/A,FALSE,"easheet";"sheet2b",#N/A,FALSE,"easheet";"sheet3",#N/A,FALSE,"easheet"}</definedName>
    <definedName name="fsdf" hidden="1">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tf" hidden="1">{"'8'!$B$1:$I$46"}</definedName>
    <definedName name="fund">#REF!</definedName>
    <definedName name="fund1">#REF!</definedName>
    <definedName name="fundacoes">#REF!</definedName>
    <definedName name="fundações">#REF!</definedName>
    <definedName name="fundações1">#REF!</definedName>
    <definedName name="Fundo">#REF!</definedName>
    <definedName name="fuste">#REF!</definedName>
    <definedName name="FXD">#REF!</definedName>
    <definedName name="FXU">#REF!</definedName>
    <definedName name="fyuk">#N/A</definedName>
    <definedName name="g">#REF!</definedName>
    <definedName name="g_10">#REF!</definedName>
    <definedName name="g_11">#REF!</definedName>
    <definedName name="g_11a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_HaulHrs_WaterTakeOff">#REF!</definedName>
    <definedName name="G_HaulHrsPerShift_WaterTakeOff">#REF!</definedName>
    <definedName name="G_HrsPerLoad_WaterTakeOff">#REF!</definedName>
    <definedName name="G_MGALperLoad_WaterTakeOff">#REF!</definedName>
    <definedName name="G_TotalLoads_WaterTakeOff">#REF!</definedName>
    <definedName name="G_TotalMGAL_WaterTakeOff">#REF!</definedName>
    <definedName name="ga" hidden="1">{"DECIMAL",#N/A,FALSE,"02"}</definedName>
    <definedName name="gaca" hidden="1">{"NORMAL",#N/A,FALSE,"02"}</definedName>
    <definedName name="GAF">#REF!</definedName>
    <definedName name="gasdfsdfase">#REF!</definedName>
    <definedName name="Gastos" hidden="1">{#N/A,#N/A,FALSE,"GRAFICO";#N/A,#N/A,FALSE,"CAJA (2)";#N/A,#N/A,FALSE,"TERCEROS-PROMEDIO";#N/A,#N/A,FALSE,"CAJA";#N/A,#N/A,FALSE,"INGRESOS1995-2003";#N/A,#N/A,FALSE,"GASTOS1995-2003"}</definedName>
    <definedName name="GASTOS.GERAIS">#REF!</definedName>
    <definedName name="GD" hidden="1">{#N/A,#N/A,FALSE,"CCTV"}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FDGFD">#REF!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">#REF!</definedName>
    <definedName name="gen">#REF!</definedName>
    <definedName name="GeneralADMNominal">#REF!</definedName>
    <definedName name="GENTE">#REF!</definedName>
    <definedName name="GEOFIX">#REF!</definedName>
    <definedName name="GER_TECNICO">#REF!</definedName>
    <definedName name="Gerentes">#REF!</definedName>
    <definedName name="gestaõ">#REF!</definedName>
    <definedName name="Gestão">#REF!</definedName>
    <definedName name="GESTAO_RESP">#REF!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FDGFDGF" hidden="1">#REF!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fgh">#REF!</definedName>
    <definedName name="gfhfgh___6">#REF!</definedName>
    <definedName name="gfhfgh___6_1">#REF!</definedName>
    <definedName name="gfhfgh___6_1_1">#REF!</definedName>
    <definedName name="gfhfgh_1">#REF!</definedName>
    <definedName name="gfhfgh_1_1">#REF!</definedName>
    <definedName name="gfjgfh" hidden="1">{#N/A,#N/A,FALSE,"CCTV"}</definedName>
    <definedName name="gfjgfhfg" hidden="1">{#N/A,#N/A,FALSE,"CCTV"}</definedName>
    <definedName name="gft" hidden="1">{"'단계별시설공사비'!$A$3:$K$51"}</definedName>
    <definedName name="gg">#REF!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{"'장비'!$A$3:$M$12"}</definedName>
    <definedName name="ggggg" hidden="1">{"'장비'!$A$3:$M$12"}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gh">#REF!</definedName>
    <definedName name="Ghj" hidden="1">#REF!</definedName>
    <definedName name="ghjg" hidden="1">{"'Estimativa de Lançamento-JAN'!$A$1:$AI$85"}</definedName>
    <definedName name="ghkjh" hidden="1">{#N/A,#N/A,FALSE,"ENG'G(보호계전기)"}</definedName>
    <definedName name="GI">#REF!</definedName>
    <definedName name="GINV">#REF!</definedName>
    <definedName name="GLOBAL">#REF!</definedName>
    <definedName name="GO.FRM">#REF!</definedName>
    <definedName name="gr" hidden="1">{#N/A,#N/A,FALSE,"Work progress mensile";#N/A,#N/A,FALSE,"Work progress mensile IE1"}</definedName>
    <definedName name="gr_25">#REF!</definedName>
    <definedName name="gra_1617">#REF!</definedName>
    <definedName name="Graf." hidden="1">{#N/A,#N/A,FALSE,"Profit Status";#N/A,#N/A,FALSE,"Invest";#N/A,#N/A,FALSE,"Revenue";#N/A,#N/A,FALSE,"Variable Cost";#N/A,#N/A,FALSE,"Options &amp; Series"}</definedName>
    <definedName name="Grafico22">#REF!</definedName>
    <definedName name="GRANITOS">#REF!</definedName>
    <definedName name="Graute_p_Alvenaria">#REF!</definedName>
    <definedName name="_xlnm.Recorder">#REF!</definedName>
    <definedName name="grt">#REF!</definedName>
    <definedName name="GRUP.ÍND">OFFSET(#REF!,0,0,COUNTA(#REF!)-2,1)</definedName>
    <definedName name="GRUPO__01">#REF!</definedName>
    <definedName name="GRUPO__02">#REF!</definedName>
    <definedName name="GRUPO__03">#REF!</definedName>
    <definedName name="GRUPO__04">#REF!</definedName>
    <definedName name="GRUPO__05">#REF!</definedName>
    <definedName name="GRUPO__06">#REF!</definedName>
    <definedName name="GRUPO__07">#REF!</definedName>
    <definedName name="GRUPO__08">#REF!</definedName>
    <definedName name="GRUPO__09">#REF!</definedName>
    <definedName name="GRUPO__10">#REF!</definedName>
    <definedName name="GRUPO__11">#REF!</definedName>
    <definedName name="GRUPO__12">#REF!</definedName>
    <definedName name="GRUPO__13">#REF!</definedName>
    <definedName name="GRUPO__14">#REF!</definedName>
    <definedName name="GRUPO__15">#REF!</definedName>
    <definedName name="GRUPO__16">#REF!</definedName>
    <definedName name="GRUPO__17">#REF!</definedName>
    <definedName name="GRUPO__18">#REF!</definedName>
    <definedName name="GRUPO__19">#REF!</definedName>
    <definedName name="GRUPO__20">#REF!</definedName>
    <definedName name="GRUPO__21">#REF!</definedName>
    <definedName name="GRUPO__22">#REF!</definedName>
    <definedName name="GRUPO__23">#REF!</definedName>
    <definedName name="GRUPO__24">#REF!</definedName>
    <definedName name="GRUPO__25">#REF!</definedName>
    <definedName name="GRUPO__26">#REF!</definedName>
    <definedName name="GRUPO__27">#REF!</definedName>
    <definedName name="GRUPO__28">#REF!</definedName>
    <definedName name="GRUPO__29">#REF!</definedName>
    <definedName name="GRUPO__30">#REF!</definedName>
    <definedName name="GRUPO__31">#REF!</definedName>
    <definedName name="GRUPO__32">#REF!</definedName>
    <definedName name="GRUPO__33">#REF!</definedName>
    <definedName name="GRUPO__34">#REF!</definedName>
    <definedName name="GRUPO__35">#REF!</definedName>
    <definedName name="GRUPO__36">#REF!</definedName>
    <definedName name="GRUPO__37">#REF!</definedName>
    <definedName name="GRUPO__38">#REF!</definedName>
    <definedName name="GRUPO__39">#REF!</definedName>
    <definedName name="GRUPO__40">#REF!</definedName>
    <definedName name="GRUPO__41">#REF!</definedName>
    <definedName name="GRUPO__42">#REF!</definedName>
    <definedName name="GRUPO__43">#REF!</definedName>
    <definedName name="GRUPO__44">#REF!</definedName>
    <definedName name="GRUPO__45">#REF!</definedName>
    <definedName name="GRUPO_10">#REF!</definedName>
    <definedName name="GRUPO_11">#REF!</definedName>
    <definedName name="GRUPO_12">#REF!</definedName>
    <definedName name="GRUPO_13">#REF!</definedName>
    <definedName name="GRUPO_14">#REF!</definedName>
    <definedName name="GRUPO_15">#REF!</definedName>
    <definedName name="GRUPO_16">#REF!</definedName>
    <definedName name="GRUPO_17">#REF!</definedName>
    <definedName name="GRUPO_19">#REF!</definedName>
    <definedName name="GRUPO_25">#REF!</definedName>
    <definedName name="GRUPO_27">#REF!</definedName>
    <definedName name="GRUPO_31">#REF!</definedName>
    <definedName name="GRUPO_32">#REF!</definedName>
    <definedName name="GRUPO_33">#REF!</definedName>
    <definedName name="GRUPO_34">#REF!</definedName>
    <definedName name="GRUPO_36___CONTINGÊNCIA">#REF!</definedName>
    <definedName name="GRUPO_39">#REF!</definedName>
    <definedName name="GRUPO_40">#REF!</definedName>
    <definedName name="GRUPO_41">#REF!</definedName>
    <definedName name="GRUPO_45">#REF!</definedName>
    <definedName name="GRUPO_47">#REF!</definedName>
    <definedName name="GRUPO_51">#REF!</definedName>
    <definedName name="GRUPO_52">#REF!</definedName>
    <definedName name="GRUPO_55">#REF!</definedName>
    <definedName name="GRUPO_57">#REF!</definedName>
    <definedName name="GRUPO_58">#REF!</definedName>
    <definedName name="GRUPO_59">#REF!</definedName>
    <definedName name="GRUPO_60">#REF!</definedName>
    <definedName name="GRUPO_61">#REF!</definedName>
    <definedName name="GRUPO_63">#REF!</definedName>
    <definedName name="GRUPO_65">#REF!</definedName>
    <definedName name="GRUPO_67">#REF!</definedName>
    <definedName name="GRUPO_71">#REF!</definedName>
    <definedName name="GRUPO_73">#REF!</definedName>
    <definedName name="GRUPO_75">#REF!</definedName>
    <definedName name="GRUPO_77">#REF!</definedName>
    <definedName name="GRUPO_78">#REF!</definedName>
    <definedName name="GRUPO_81">#REF!</definedName>
    <definedName name="GRUPO_82___TAMPOS_E_BANCADAS">#REF!</definedName>
    <definedName name="GRUPO_83">#REF!</definedName>
    <definedName name="GRUPO_93">#REF!</definedName>
    <definedName name="GRUPO_94">#REF!</definedName>
    <definedName name="GRUPO_95">#REF!</definedName>
    <definedName name="grupo11">#REF!</definedName>
    <definedName name="grupo12">#REF!</definedName>
    <definedName name="grupo13">#REF!</definedName>
    <definedName name="grupo14">#REF!</definedName>
    <definedName name="grupo15">#REF!</definedName>
    <definedName name="grupo16">#REF!</definedName>
    <definedName name="grupo17">#REF!</definedName>
    <definedName name="grupo19">#REF!</definedName>
    <definedName name="grupo21">#REF!</definedName>
    <definedName name="grupo25">#REF!</definedName>
    <definedName name="grupo27">#REF!</definedName>
    <definedName name="grupo31">#REF!</definedName>
    <definedName name="grupo32">#REF!</definedName>
    <definedName name="grupo33">#REF!</definedName>
    <definedName name="grupo34">#REF!</definedName>
    <definedName name="grupo35">#REF!</definedName>
    <definedName name="grupo37">#REF!</definedName>
    <definedName name="grupo41">#REF!</definedName>
    <definedName name="grupo45">#REF!</definedName>
    <definedName name="grupo47">#REF!</definedName>
    <definedName name="Grupo51">#REF!</definedName>
    <definedName name="grupo52">#REF!</definedName>
    <definedName name="grupo53">#REF!</definedName>
    <definedName name="grupo54">#REF!</definedName>
    <definedName name="grupo55">#REF!</definedName>
    <definedName name="grupo56">#REF!</definedName>
    <definedName name="grupo57">#REF!</definedName>
    <definedName name="grupo58">#REF!</definedName>
    <definedName name="grupo59">#REF!</definedName>
    <definedName name="grupo60">#REF!</definedName>
    <definedName name="grupo61">#REF!</definedName>
    <definedName name="grupo63">#REF!</definedName>
    <definedName name="grupo65">#REF!</definedName>
    <definedName name="grupo67">#REF!</definedName>
    <definedName name="grupo68">#REF!</definedName>
    <definedName name="grupo69">#REF!</definedName>
    <definedName name="grupo71">#REF!</definedName>
    <definedName name="grupo73">#REF!</definedName>
    <definedName name="grupo75">#REF!</definedName>
    <definedName name="grupo77">#REF!</definedName>
    <definedName name="grupo78">#REF!</definedName>
    <definedName name="grupo81">#REF!</definedName>
    <definedName name="grupo83">#REF!</definedName>
    <definedName name="grupo88">#REF!</definedName>
    <definedName name="grupo90">#REF!</definedName>
    <definedName name="grupo91">#REF!</definedName>
    <definedName name="grupo92">#REF!</definedName>
    <definedName name="grupo93">#REF!</definedName>
    <definedName name="grupo94">#REF!</definedName>
    <definedName name="grupo95">#REF!</definedName>
    <definedName name="grupo96">#REF!</definedName>
    <definedName name="GRUPOS">#REF!</definedName>
    <definedName name="GRV">#REF!</definedName>
    <definedName name="gsc" hidden="1">{"NORMAL",#N/A,FALSE,"02"}</definedName>
    <definedName name="gsdgtgh" hidden="1">{"sheet1",#N/A,FALSE,"easheet";"sheet2a",#N/A,FALSE,"easheet";"sheet2b",#N/A,FALSE,"easheet";"sheet3",#N/A,FALSE,"easheet"}</definedName>
    <definedName name="G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.FRM">#REF!</definedName>
    <definedName name="gym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yy" hidden="1">{"DECIMAL",#N/A,FALSE,"02"}</definedName>
    <definedName name="gz" hidden="1">{"DECIMAL",#N/A,FALSE,"02"}</definedName>
    <definedName name="h">#REF!</definedName>
    <definedName name="H_CurbCrewHrs_CurbTakeOff">#REF!</definedName>
    <definedName name="H_CurbLF_CurbTakeOff">#REF!</definedName>
    <definedName name="H_CurbpccCY_CurbTakeOff">#REF!</definedName>
    <definedName name="H_TORRE_A">#REF!</definedName>
    <definedName name="H_TORRE_B">#REF!</definedName>
    <definedName name="H_TORRE_C">#REF!</definedName>
    <definedName name="há">#REF!</definedName>
    <definedName name="HardCostDates">#REF!</definedName>
    <definedName name="HardCostForecast">#REF!</definedName>
    <definedName name="HardCostNominal">#REF!</definedName>
    <definedName name="HardCostTotal">#REF!</definedName>
    <definedName name="hbjgjuae">#REF!</definedName>
    <definedName name="HC_Total">#REF!</definedName>
    <definedName name="hdfyftrt" hidden="1">{"sheet1",#N/A,FALSE,"easheet";"sheet2a",#N/A,FALSE,"easheet";"sheet2b",#N/A,FALSE,"easheet";"sheet3",#N/A,FALSE,"easheet"}</definedName>
    <definedName name="HE">#REF!</definedName>
    <definedName name="Helice">#REF!</definedName>
    <definedName name="henry" hidden="1">{"offequipsch",#N/A,FALSE,"GTC_Schedule";"onconstsch",#N/A,FALSE,"GTC_Schedule";"techsch",#N/A,FALSE,"GTC_Schedule";"totsch",#N/A,FALSE,"GTC_Schedule"}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dgfdg" hidden="1">{#N/A,#N/A,FALSE,"CCTV"}</definedName>
    <definedName name="hfjhhjj" hidden="1">{#N/A,#N/A,FALSE,"CCTV"}</definedName>
    <definedName name="hfrytr" hidden="1">{"offequipsch",#N/A,FALSE,"GTC_Schedule";"onconstsch",#N/A,FALSE,"GTC_Schedule";"techsch",#N/A,FALSE,"GTC_Schedule";"totsch",#N/A,FALSE,"GTC_Schedule"}</definedName>
    <definedName name="hgjfgh" hidden="1">{#N/A,#N/A,FALSE,"CCTV"}</definedName>
    <definedName name="hgjgfhgh" hidden="1">{#N/A,#N/A,FALSE,"CCTV"}</definedName>
    <definedName name="hh" hidden="1">{#N/A,#N/A,FALSE,"CCTV"}</definedName>
    <definedName name="hhcap">#REF!</definedName>
    <definedName name="hhdir">#REF!</definedName>
    <definedName name="HHH" hidden="1">{#N/A,#N/A,FALSE,"CCTV"}</definedName>
    <definedName name="hhprev">#REF!</definedName>
    <definedName name="hhsup">#REF!</definedName>
    <definedName name="hi">#REF!</definedName>
    <definedName name="hid">#REF!</definedName>
    <definedName name="HIDRÁULICA">#N/A</definedName>
    <definedName name="HIDRAULICA9ºANDAR">#REF!</definedName>
    <definedName name="HINTRA">#REF!</definedName>
    <definedName name="HIPERMERCADO">#REF!,#REF!,#REF!,#REF!</definedName>
    <definedName name="hist">#REF!</definedName>
    <definedName name="HIST_ADM">#REF!</definedName>
    <definedName name="HIST_ALMOX">#REF!</definedName>
    <definedName name="HIST_ENC_1">#REF!</definedName>
    <definedName name="HIST_ENC_2">#REF!</definedName>
    <definedName name="HIST_ENC_3">#REF!</definedName>
    <definedName name="HIST_ENG_JR1">#REF!</definedName>
    <definedName name="HIST_ENG_JR2">#REF!</definedName>
    <definedName name="HIST_ENG_PL">#REF!</definedName>
    <definedName name="HIST_ESTAG_1">#REF!</definedName>
    <definedName name="HIST_ESTAG_2">#REF!</definedName>
    <definedName name="HIST_ESTAG_3">#REF!</definedName>
    <definedName name="HIST_ESTAG_4">#REF!</definedName>
    <definedName name="HIST_GGO">#REF!</definedName>
    <definedName name="HIST_MESTRE">#REF!</definedName>
    <definedName name="HIST1">#REF!</definedName>
    <definedName name="HISTEQ">#REF!</definedName>
    <definedName name="histo">#REF!</definedName>
    <definedName name="HISTOGRAMA">#REF!</definedName>
    <definedName name="Histórico_2002">#REF!</definedName>
    <definedName name="hjjhj">#REF!</definedName>
    <definedName name="hjjhj_1">#REF!</definedName>
    <definedName name="hjjhj_1_1">#REF!</definedName>
    <definedName name="hjtfhr" hidden="1">{"offequipsch",#N/A,FALSE,"GTC_Schedule";"onconstsch",#N/A,FALSE,"GTC_Schedule";"techsch",#N/A,FALSE,"GTC_Schedule";"totsch",#N/A,FALSE,"GTC_Schedule"}</definedName>
    <definedName name="HOA">#REF!</definedName>
    <definedName name="Hoja" hidden="1">#N/A</definedName>
    <definedName name="HOJE">#REF!</definedName>
    <definedName name="home">#REF!</definedName>
    <definedName name="HONO">#REF!</definedName>
    <definedName name="HONORARIOS">#REF!</definedName>
    <definedName name="HOTEL">#REF!</definedName>
    <definedName name="hry" hidden="1">{"sheet1",#N/A,FALSE,"easheet";"sheet2a",#N/A,FALSE,"easheet";"sheet2b",#N/A,FALSE,"easheet";"sheet3",#N/A,FALSE,"easheet"}</definedName>
    <definedName name="HT">#REF!</definedName>
    <definedName name="HTHHTHHT">#REF!</definedName>
    <definedName name="HTM">#REF!</definedName>
    <definedName name="HTML" hidden="1">{"'장비'!$A$3:$M$12"}</definedName>
    <definedName name="HTML_CodePage" hidden="1">949</definedName>
    <definedName name="HTML_Control" hidden="1">{"'장비'!$A$3:$M$12"}</definedName>
    <definedName name="HTML_Control_1" hidden="1">{"'8'!$B$1:$I$46"}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1_1" hidden="1">"'[Actual.xls]Income I'!$A$1:$U$301"</definedName>
    <definedName name="HTML1_10" hidden="1">""</definedName>
    <definedName name="HTML1_11" hidden="1">1</definedName>
    <definedName name="HTML1_12" hidden="1">"C:\Ford\1997\Actual\MyHTML.htm"</definedName>
    <definedName name="HTML1_2" hidden="1">1</definedName>
    <definedName name="HTML1_3" hidden="1">"Actual"</definedName>
    <definedName name="HTML1_4" hidden="1">"Income I"</definedName>
    <definedName name="HTML1_5" hidden="1">""</definedName>
    <definedName name="HTML1_6" hidden="1">-4146</definedName>
    <definedName name="HTML1_7" hidden="1">-4146</definedName>
    <definedName name="HTML1_8" hidden="1">"02/09/97"</definedName>
    <definedName name="HTML1_9" hidden="1">"Fernando S. Ribeiro"</definedName>
    <definedName name="HTML2_CONTROL" hidden="1">{"'Estimativa de Lançamento-JAN'!$A$1:$AI$85"}</definedName>
    <definedName name="HTML3_CONTROL" hidden="1">{"'Estimativa de Lançamento-JAN'!$A$1:$AI$85"}</definedName>
    <definedName name="HTMLCount" hidden="1">1</definedName>
    <definedName name="htmln" hidden="1">{"'8'!$B$1:$I$46"}</definedName>
    <definedName name="HTN">#REF!</definedName>
    <definedName name="hty" hidden="1">{"offequipsch",#N/A,FALSE,"GTC_Schedule";"onconstsch",#N/A,FALSE,"GTC_Schedule";"techsch",#N/A,FALSE,"GTC_Schedule";"totsch",#N/A,FALSE,"GTC_Schedule"}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">0.01</definedName>
    <definedName name="I_AreaSF_ExcavationTakeOff">#REF!</definedName>
    <definedName name="I_LocationsEA_ExcavationTakeOff">#REF!</definedName>
    <definedName name="I_VolumeCY_ExcavationTakeOff">#REF!</definedName>
    <definedName name="ICC_GLOBAL">#REF!</definedName>
    <definedName name="ICMS">#REF!</definedName>
    <definedName name="ICMS_Aliq">#REF!</definedName>
    <definedName name="ICNI">#REF!</definedName>
    <definedName name="idioma">#REF!</definedName>
    <definedName name="igpm">#REF!</definedName>
    <definedName name="II">#REF!</definedName>
    <definedName name="III">#REF!</definedName>
    <definedName name="I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ouolkll" hidden="1">{#N/A,#N/A,FALSE,"CCTV"}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NI">#REF!</definedName>
    <definedName name="IMP" hidden="1">#REF!</definedName>
    <definedName name="IMPERM.">#REF!</definedName>
    <definedName name="IMPERMEABILIZA">#N/A</definedName>
    <definedName name="Impermeabilização">#REF!</definedName>
    <definedName name="IMPF">#REF!</definedName>
    <definedName name="IMPI">#REF!</definedName>
    <definedName name="IMPLANTAÇÃO.CANTEIRO">#REF!</definedName>
    <definedName name="IMPOSTO">#REF!</definedName>
    <definedName name="IMPR1">#REF!</definedName>
    <definedName name="IMPR2">#REF!</definedName>
    <definedName name="IMPR3">#REF!</definedName>
    <definedName name="ImprCronograma">#REF!</definedName>
    <definedName name="IMPRES">#REF!</definedName>
    <definedName name="IMPRESSAO">#REF!</definedName>
    <definedName name="ImprEvco">#REF!</definedName>
    <definedName name="In_Cittá">#REF!</definedName>
    <definedName name="INCC">#REF!</definedName>
    <definedName name="inccalpha">#REF!</definedName>
    <definedName name="INCCINDI">#REF!</definedName>
    <definedName name="INCCM">#REF!</definedName>
    <definedName name="INCCok">#REF!</definedName>
    <definedName name="INCCS">#REF!</definedName>
    <definedName name="Incorrido01">#REF!</definedName>
    <definedName name="Ind">#REF!</definedName>
    <definedName name="Index" hidden="1">#REF!</definedName>
    <definedName name="INDICADOR">#REF!</definedName>
    <definedName name="indiccccccccccccc">#REF!</definedName>
    <definedName name="indice">#REF!</definedName>
    <definedName name="ÍNDICE">#REF!</definedName>
    <definedName name="INDICE_ALV_09">#REF!</definedName>
    <definedName name="INDICE_ALV_14">#REF!</definedName>
    <definedName name="INDICE_ALV_19">#REF!</definedName>
    <definedName name="INDICE_ALV_FRISADA">#REF!</definedName>
    <definedName name="INDICE_CONTRAPISO_EXT_ESPESS">#REF!</definedName>
    <definedName name="INDICE_CONTRAPISO_INT_ESPESS">#REF!</definedName>
    <definedName name="INDICE_DASSI_CERAMICA">#REF!</definedName>
    <definedName name="Índice_do_CritérioContrato">#REF!</definedName>
    <definedName name="INDICE_EMBOCO_CONSUMO">#REF!</definedName>
    <definedName name="INDICE_EMBOCO_EXT_ESPESS">#REF!</definedName>
    <definedName name="INDICE_EMBOCO_FAIXA">#REF!</definedName>
    <definedName name="INDICE_EMBOCO_INT_ESPESS">#REF!</definedName>
    <definedName name="INDICE_EST_POSTIPO">#REF!</definedName>
    <definedName name="INDICE_EST_PRETIPO">#REF!</definedName>
    <definedName name="INDICE_EST_TIPO">#REF!</definedName>
    <definedName name="INDICE_GESSO_FAIXA">#REF!</definedName>
    <definedName name="INDICE_GESSO_SANCAS">#REF!</definedName>
    <definedName name="INDICE_GESSO_TABICA">#REF!</definedName>
    <definedName name="INDICE_IMPERM_HBAN">#REF!</definedName>
    <definedName name="INDICE_IMPERM_HBOX">#REF!</definedName>
    <definedName name="INDICE_IMPERM_HDIV">#REF!</definedName>
    <definedName name="Índice_Lançado">#REF!</definedName>
    <definedName name="INDICE_LUM_EMERG">#REF!</definedName>
    <definedName name="INDICE_LUM_ESCADA">#REF!</definedName>
    <definedName name="INDICE_LUM_HALL">#REF!</definedName>
    <definedName name="INDICE_LUM_PSG">#REF!</definedName>
    <definedName name="INDICE_LUM_SS">#REF!</definedName>
    <definedName name="INDICE_LUM_VARANDA">#REF!</definedName>
    <definedName name="INDICE_RETOQUE_ESTRUTURA">#REF!</definedName>
    <definedName name="INDICE_TORNEIRA_AC">#REF!</definedName>
    <definedName name="indice1">#REF!</definedName>
    <definedName name="IndiceAcompanhamento">#REF!</definedName>
    <definedName name="inf">#REF!</definedName>
    <definedName name="Informações">#REF!</definedName>
    <definedName name="INFRA">#REF!</definedName>
    <definedName name="IniciaColeta">#REF!</definedName>
    <definedName name="inicial">#REF!</definedName>
    <definedName name="INICIO">#REF!</definedName>
    <definedName name="INICIOS">#REF!</definedName>
    <definedName name="Inormações">#REF!</definedName>
    <definedName name="INSBN">#REF!</definedName>
    <definedName name="INST.ELETRICAS">#REF!</definedName>
    <definedName name="INST.ESPECIAIS">#REF!</definedName>
    <definedName name="INST.HIDRAULICAS">#REF!</definedName>
    <definedName name="INST.MECANICAS">#REF!</definedName>
    <definedName name="instalaco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OFFSET(#REF!,0,0,COUNTA(#REF!),7)</definedName>
    <definedName name="INSUMOS_USADOS">#REF!</definedName>
    <definedName name="INSUMOSS">#REF!</definedName>
    <definedName name="INTEGRACAO">#REF!</definedName>
    <definedName name="INTRA">#REF!</definedName>
    <definedName name="IPI">#REF!</definedName>
    <definedName name="IR_ABCE">#REF!</definedName>
    <definedName name="IR_DER_SSO">#REF!</definedName>
    <definedName name="IR_RD">#REF!</definedName>
    <definedName name="IR_SB">#REF!</definedName>
    <definedName name="IR_SIURB">#REF!</definedName>
    <definedName name="IRPARA">#REF!</definedName>
    <definedName name="ISS">#REF!</definedName>
    <definedName name="ISS_Aliq">#REF!</definedName>
    <definedName name="ITEM">#REF!</definedName>
    <definedName name="item1">#REF!</definedName>
    <definedName name="item3">#REF!</definedName>
    <definedName name="item4">#REF!</definedName>
    <definedName name="ITEMCONT">#REF!</definedName>
    <definedName name="ITEMDER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_dos_Serviços">#REF!</definedName>
    <definedName name="ITENS0">#REF!</definedName>
    <definedName name="ITENS1">#REF!</definedName>
    <definedName name="ITENSP">#REF!</definedName>
    <definedName name="ITENSPMED">#REF!</definedName>
    <definedName name="iUg">#REF!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V">#REF!</definedName>
    <definedName name="J">#REF!</definedName>
    <definedName name="J_Lift1TN_AsphaltLayCalculator">#REF!</definedName>
    <definedName name="J_Lift2TN_AsphaltLayCalculator">#REF!</definedName>
    <definedName name="J_Lift3TN_AsphaltLayCalculator">#REF!</definedName>
    <definedName name="J_LiquidacTN_AsphaltLayCalculator">#REF!</definedName>
    <definedName name="J_TotTN_AsphaltLayCalculator">#REF!</definedName>
    <definedName name="JAC.FRM">#REF!</definedName>
    <definedName name="JAG.FRM">#REF!</definedName>
    <definedName name="JAN00">#REF!</definedName>
    <definedName name="jansen">#REF!</definedName>
    <definedName name="jansen_10">#REF!</definedName>
    <definedName name="jansen_11">#REF!</definedName>
    <definedName name="Jazidas">#REF!</definedName>
    <definedName name="JC.FRM">#REF!</definedName>
    <definedName name="jdjdjdjd" hidden="1">{#N/A,#N/A,FALSE,"명세표"}</definedName>
    <definedName name="JGH">#REF!</definedName>
    <definedName name="JHGJH">#REF!</definedName>
    <definedName name="jhhhh" hidden="1">{#N/A,#N/A,FALSE,"CCTV"}</definedName>
    <definedName name="jhj" hidden="1">{#N/A,#N/A,FALSE,"Work progress mensile";#N/A,#N/A,FALSE,"Work progress mensile IE1"}</definedName>
    <definedName name="jhkjhkg" hidden="1">{#N/A,#N/A,FALSE,"PERSONAL";#N/A,#N/A,FALSE,"explotación";#N/A,#N/A,FALSE,"generales"}</definedName>
    <definedName name="jjjj" hidden="1">#REF!</definedName>
    <definedName name="jjjjjjjjjjjjjjjjjjjj">#REF!</definedName>
    <definedName name="JK" hidden="1">{#N/A,#N/A,FALSE,"CCTV"}</definedName>
    <definedName name="JKE" hidden="1">{#N/A,#N/A,FALSE,"CCTV"}</definedName>
    <definedName name="JOALDO">#REF!</definedName>
    <definedName name="JOBINFO">#REF!</definedName>
    <definedName name="joel01">#REF!</definedName>
    <definedName name="Joinville">#REF!</definedName>
    <definedName name="JOSI">#REF!</definedName>
    <definedName name="JP.FRM">#REF!</definedName>
    <definedName name="JULHO99" hidden="1">{#N/A,#N/A,TRUE,"Quinzena 01 à 15-04-98 "}</definedName>
    <definedName name="Jun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jun00">#REF!</definedName>
    <definedName name="JUR">#REF!</definedName>
    <definedName name="juro_pago">#REF!</definedName>
    <definedName name="juro_recebido">#REF!</definedName>
    <definedName name="juros">#REF!</definedName>
    <definedName name="juros_ato2">#REF!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>#REF!</definedName>
    <definedName name="K_1">#REF!</definedName>
    <definedName name="K_HrsFrom_MobilizationTakeOff">#REF!</definedName>
    <definedName name="K_HrsIn_MobilizationTakeOff">#REF!</definedName>
    <definedName name="K_HrsOut_MobilizationTakeOff">#REF!</definedName>
    <definedName name="K_HrsPerLoad_MobilizationTakeOff">#REF!</definedName>
    <definedName name="K_HrsTo_MobilizationTakeOff">#REF!</definedName>
    <definedName name="K_TotHrs_MobilizationTakeOff">#REF!</definedName>
    <definedName name="K_TotLoads_MobilizationTakeOff">#REF!</definedName>
    <definedName name="K1geral">#REF!</definedName>
    <definedName name="K2adm">#REF!</definedName>
    <definedName name="K3indireto">#REF!</definedName>
    <definedName name="KAKAKAKAKAKAKAKAKA">#REF!</definedName>
    <definedName name="kapa">#REF!</definedName>
    <definedName name="kçkl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KDJU" hidden="1">{"'장비'!$A$3:$M$12"}</definedName>
    <definedName name="kghlgh" hidden="1">{#N/A,#N/A,FALSE,"CCTV"}</definedName>
    <definedName name="khj" hidden="1">{"offequipsch",#N/A,FALSE,"GTC_Schedule";"onconstsch",#N/A,FALSE,"GTC_Schedule";"techsch",#N/A,FALSE,"GTC_Schedule";"totsch",#N/A,FALSE,"GTC_Schedule"}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hidden="1">{#N/A,#N/A,FALSE,"CCTV"}</definedName>
    <definedName name="kj" hidden="1">#REF!</definedName>
    <definedName name="kjh" hidden="1">{"DECIMAL",#N/A,FALSE,"02"}</definedName>
    <definedName name="kjhkjhk" hidden="1">{#N/A,#N/A,FALSE,"PERSONAL";#N/A,#N/A,FALSE,"explotación";#N/A,#N/A,FALSE,"generales"}</definedName>
    <definedName name="kjhlh" hidden="1">{#N/A,#N/A,FALSE,"CCTV"}</definedName>
    <definedName name="kjhljhk" hidden="1">{#N/A,#N/A,FALSE,"CCTV"}</definedName>
    <definedName name="kji" hidden="1">{"DECIMAL",#N/A,FALSE,"02"}</definedName>
    <definedName name="kjkgh" hidden="1">{"'장비'!$A$3:$M$12"}</definedName>
    <definedName name="kjl" hidden="1">{#N/A,#N/A,FALSE,"ENG'G(보호계전기)"}</definedName>
    <definedName name="kjlkj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kkkkk">#REF!</definedName>
    <definedName name="KKKKKKKKK">#REF!</definedName>
    <definedName name="kkkkkkkkkkkkk" hidden="1">#REF!</definedName>
    <definedName name="KLKKLKÇJÇ" hidden="1">{#N/A,#N/A,FALSE,"Plan1";#N/A,#N/A,FALSE,"Plan2"}</definedName>
    <definedName name="klmn" hidden="1">{#N/A,#N/A,FALSE,"Bericht 2";#N/A,#N/A,FALSE,"Bericht 3";#N/A,#N/A,FALSE,"Bericht 1"}</definedName>
    <definedName name="koae">#REF!</definedName>
    <definedName name="kpavi">#REF!</definedName>
    <definedName name="KSDNFK">#REF!</definedName>
    <definedName name="kterra">#REF!</definedName>
    <definedName name="kubus">#REF!</definedName>
    <definedName name="kubus1">#REF!</definedName>
    <definedName name="kubuspalmeiras">#REF!</definedName>
    <definedName name="kubusretiro">#REF!</definedName>
    <definedName name="kw" hidden="1">{"offequipsch",#N/A,FALSE,"GTC_Schedule";"onconstsch",#N/A,FALSE,"GTC_Schedule";"techsch",#N/A,FALSE,"GTC_Schedule";"totsch",#N/A,FALSE,"GTC_Schedule"}</definedName>
    <definedName name="L_">#REF!</definedName>
    <definedName name="L_BeddingCY_PipeTakeOff">#REF!</definedName>
    <definedName name="L_FineGradeSF_PipeTakeOff">#REF!</definedName>
    <definedName name="L_HaulOffLoads_PipeTakeOff">#REF!</definedName>
    <definedName name="L_Lift1CY_PipeTakeOff">#REF!</definedName>
    <definedName name="L_Lift2CY_PipeTakeOff">#REF!</definedName>
    <definedName name="L_Lift3CY_PipeTakeOff">#REF!</definedName>
    <definedName name="L_Lift4CY_PipeTakeOff">#REF!</definedName>
    <definedName name="L_Lift5CY_PipeTakeOff">#REF!</definedName>
    <definedName name="L_SawcutLF_PipeTakeOff">#REF!</definedName>
    <definedName name="L_SpecBackFillCY_PipeTakeOff">#REF!</definedName>
    <definedName name="L_TotBackfillCY_PipeTakeOff">#REF!</definedName>
    <definedName name="L_TotExCY_PipeTakeOff">#REF!</definedName>
    <definedName name="L_TotPipeLF_PipeTakeOff">#REF!</definedName>
    <definedName name="LAJES">#REF!</definedName>
    <definedName name="LANC">#REF!</definedName>
    <definedName name="Lança_Avaliações">#REF!</definedName>
    <definedName name="LandDates">#REF!</definedName>
    <definedName name="LandForecast">#REF!</definedName>
    <definedName name="LandNominal">#REF!</definedName>
    <definedName name="LargEsc">#REF!</definedName>
    <definedName name="LargLast">#REF!</definedName>
    <definedName name="Lastro_de_concreto_usinado">#REF!</definedName>
    <definedName name="Latex_Pva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eaglAccTax">#REF!</definedName>
    <definedName name="Leg" hidden="1">#REF!</definedName>
    <definedName name="legal" hidden="1">{#N/A,#N/A,FALSE,"Profit Status";#N/A,#N/A,FALSE,"Invest";#N/A,#N/A,FALSE,"Revenue";#N/A,#N/A,FALSE,"Variable Cost";#N/A,#N/A,FALSE,"Options &amp; Series"}</definedName>
    <definedName name="Legal_Acc._Taxes">#REF!</definedName>
    <definedName name="LegalNominal">#REF!</definedName>
    <definedName name="LEIS">#REF!</definedName>
    <definedName name="Leis_Sociais">#REF!</definedName>
    <definedName name="LEQ">#REF!</definedName>
    <definedName name="LEQC">#REF!</definedName>
    <definedName name="LEVANTAMENTO">#REF!</definedName>
    <definedName name="level1" hidden="1">{"'장비'!$A$3:$M$12"}</definedName>
    <definedName name="LI">#REF!</definedName>
    <definedName name="LIDER_OPER">#REF!</definedName>
    <definedName name="Lighting" hidden="1">{#N/A,#N/A,FALSE,"Profit Status";#N/A,#N/A,FALSE,"Invest";#N/A,#N/A,FALSE,"Revenue";#N/A,#N/A,FALSE,"Variable Cost";#N/A,#N/A,FALSE,"Options &amp; Series"}</definedName>
    <definedName name="LII">#REF!</definedName>
    <definedName name="LIII">#REF!</definedName>
    <definedName name="LILASDRENA">#REF!</definedName>
    <definedName name="lim_var">#REF!</definedName>
    <definedName name="limcount" hidden="1">1</definedName>
    <definedName name="limite">#REF!</definedName>
    <definedName name="Limpar_001">#REF!</definedName>
    <definedName name="Limpar001">#REF!</definedName>
    <definedName name="LIMPEZA">#REF!</definedName>
    <definedName name="LIN">#REF!</definedName>
    <definedName name="linha">#REF!</definedName>
    <definedName name="LINHA_INÍCIO">#REF!</definedName>
    <definedName name="LinhaAtual">#REF!</definedName>
    <definedName name="LIQB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_ag_nm">#REF!</definedName>
    <definedName name="list_empresa">#REF!</definedName>
    <definedName name="list_entrada">#REF!</definedName>
    <definedName name="list_fiscal">#REF!</definedName>
    <definedName name="list_ipi">#REF!</definedName>
    <definedName name="list_licitacao">#REF!</definedName>
    <definedName name="list_mod">#REF!</definedName>
    <definedName name="list_moeda">#REF!</definedName>
    <definedName name="list_prazo">#REF!</definedName>
    <definedName name="list_pre_vendas">#REF!</definedName>
    <definedName name="list_produto">#REF!</definedName>
    <definedName name="list_rep">#REF!</definedName>
    <definedName name="list_representante">#REF!</definedName>
    <definedName name="list_solucoes">#REF!</definedName>
    <definedName name="list_tp_vendas">#REF!</definedName>
    <definedName name="list_UF">#REF!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a">#REF!</definedName>
    <definedName name="LISTA_DE_SERVIÇOS">#REF!</definedName>
    <definedName name="Lista_Esquadrias">#REF!</definedName>
    <definedName name="ListaBudgetSch9">#REF!</definedName>
    <definedName name="ListaM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IXO_CASAS">#REF!</definedName>
    <definedName name="LIXO_EDIFICIO">#REF!</definedName>
    <definedName name="ljkㅏㅎ" hidden="1">{#N/A,#N/A,FALSE,"2~8번"}</definedName>
    <definedName name="LK" hidden="1">{#N/A,#N/A,TRUE,"Quinzena 01 à 15-04-98 "}</definedName>
    <definedName name="lklhlkjl" hidden="1">{#N/A,#N/A,FALSE,"CCTV"}</definedName>
    <definedName name="ll" hidden="1">{#N/A,#N/A,FALSE,"Bericht 2";#N/A,#N/A,FALSE,"Bericht 3";#N/A,#N/A,FALSE,"Bericht 1"}</definedName>
    <definedName name="LL_1">#REF!</definedName>
    <definedName name="LL_1_1">#REF!</definedName>
    <definedName name="LLK">#REF!</definedName>
    <definedName name="lll" hidden="1">{#N/A,#N/A,FALSE,"CCTV"}</definedName>
    <definedName name="LMAT">#REF!</definedName>
    <definedName name="LMATC">#REF!</definedName>
    <definedName name="LMO">#REF!</definedName>
    <definedName name="LMOC">#REF!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CAL">OFFSET(#REF!,0,0,COUNTA(#REF!),1)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IDADES">#REF!</definedName>
    <definedName name="LOCALMENU">#REF!</definedName>
    <definedName name="LOCALOBRA">#REF!</definedName>
    <definedName name="lola" hidden="1">{#N/A,#N/A,FALSE,"PERSONAL";#N/A,#N/A,FALSE,"explotación";#N/A,#N/A,FALSE,"generales"}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GA">#REF!</definedName>
    <definedName name="longa_1617">#REF!</definedName>
    <definedName name="LONGA1">#REF!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OUÇAS.METAIS">#REF!</definedName>
    <definedName name="LPDates">#REF!</definedName>
    <definedName name="LPForecast">#REF!</definedName>
    <definedName name="lplegrand">#REF!</definedName>
    <definedName name="LPNominal">#REF!</definedName>
    <definedName name="LS">#REF!</definedName>
    <definedName name="LS_2">#REF!</definedName>
    <definedName name="LS_5">#REF!</definedName>
    <definedName name="LS_6">#REF!</definedName>
    <definedName name="LS_7">#REF!</definedName>
    <definedName name="LSER">#REF!</definedName>
    <definedName name="LSERC">#REF!</definedName>
    <definedName name="lsh">#REF!</definedName>
    <definedName name="lsm">#REF!</definedName>
    <definedName name="LUCRO">#REF!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uz">#REF!</definedName>
    <definedName name="luiz">#REF!</definedName>
    <definedName name="LUT">#REF!</definedName>
    <definedName name="LV">#REF!</definedName>
    <definedName name="LVI">#REF!</definedName>
    <definedName name="LVII">#REF!</definedName>
    <definedName name="LVIII">#REF!</definedName>
    <definedName name="LX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#REF!</definedName>
    <definedName name="M.ÍND">OFFSET(#REF!,0,0,COUNTA(#REF!)-4,COUNTA(#REF!)-1)</definedName>
    <definedName name="M_CrushTN_AggregatePitTakeOff">#REF!</definedName>
    <definedName name="M_LiquidacTN_AggregatePitTakeOff">#REF!</definedName>
    <definedName name="M_PitFeedTN_AggregatePitTakeOff">#REF!</definedName>
    <definedName name="M_RejectTN_AggregatePitTakeOff">#REF!</definedName>
    <definedName name="M_StrippingTN_AggregatePitTakeOff">#REF!</definedName>
    <definedName name="ma">#REF!</definedName>
    <definedName name="MA.FRM">#REF!</definedName>
    <definedName name="MACR">#REF!</definedName>
    <definedName name="Macro101">#REF!</definedName>
    <definedName name="Macro16">#REF!</definedName>
    <definedName name="MacroAssump">#REF!</definedName>
    <definedName name="MACROS">#REF!</definedName>
    <definedName name="mai00">#REF!</definedName>
    <definedName name="MAIO">#REF!</definedName>
    <definedName name="MAO_DE_OBRA">#REF!</definedName>
    <definedName name="MAPA">#REF!</definedName>
    <definedName name="Mar_98">"Mestre05"</definedName>
    <definedName name="MAR00">#REF!</definedName>
    <definedName name="MARCAX">#REF!</definedName>
    <definedName name="margem">#REF!</definedName>
    <definedName name="MarkP" hidden="1">{#N/A,#N/A,FALSE,"GRAFICO";#N/A,#N/A,FALSE,"CAJA (2)";#N/A,#N/A,FALSE,"TERCEROS-PROMEDIO";#N/A,#N/A,FALSE,"CAJA";#N/A,#N/A,FALSE,"INGRESOS1995-2003";#N/A,#N/A,FALSE,"GASTOS1995-2003"}</definedName>
    <definedName name="martha">#REF!</definedName>
    <definedName name="MAT">#REF!</definedName>
    <definedName name="MATCONS">#REF!</definedName>
    <definedName name="Materiais">#REF!</definedName>
    <definedName name="MATERIAL">#REF!</definedName>
    <definedName name="Maternidade_São_Luiz___Rua_Helena">#REF!</definedName>
    <definedName name="matriz">#REF!</definedName>
    <definedName name="matriz1">#REF!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OR">#REF!</definedName>
    <definedName name="MDC">#REF!</definedName>
    <definedName name="MDDH">#REF!</definedName>
    <definedName name="MDM">#REF!</definedName>
    <definedName name="medi">#REF!</definedName>
    <definedName name="MEIO_FIO">#REF!</definedName>
    <definedName name="mem">#REF!</definedName>
    <definedName name="MEMÓRIA">#REF!</definedName>
    <definedName name="mensais_longa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ES">#REF!</definedName>
    <definedName name="mês">#REF!</definedName>
    <definedName name="Mês_Índice_Contrato">#REF!</definedName>
    <definedName name="meses_cro">#REF!</definedName>
    <definedName name="meses_INCC">#REF!</definedName>
    <definedName name="MesRef">#REF!</definedName>
    <definedName name="MESTACA">OFFSET(#REF!,0,0,1,#REF!)</definedName>
    <definedName name="Mestre_02">#REF!</definedName>
    <definedName name="Mestre02">#REF!</definedName>
    <definedName name="Mestre03">#REF!</definedName>
    <definedName name="Mestre04">#REF!</definedName>
    <definedName name="Mestre05">#REF!</definedName>
    <definedName name="meu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f">1</definedName>
    <definedName name="mfg" hidden="1">{"DECIMAL",#N/A,FALSE,"02"}</definedName>
    <definedName name="MFI">#REF!</definedName>
    <definedName name="MG.FRM">#REF!</definedName>
    <definedName name="MGG">#REF!</definedName>
    <definedName name="mh" hidden="1">#REF!</definedName>
    <definedName name="mil">#N/A</definedName>
    <definedName name="MIT">#REF!</definedName>
    <definedName name="MixMetaCerv">#REF!</definedName>
    <definedName name="MixMetaRefri">#REF!</definedName>
    <definedName name="MixRealCerv">#REF!</definedName>
    <definedName name="MixRealRefri">#REF!</definedName>
    <definedName name="MKTDates">#REF!</definedName>
    <definedName name="MKTForecast">#REF!</definedName>
    <definedName name="MKTNominal">#REF!</definedName>
    <definedName name="MLH0">#REF!</definedName>
    <definedName name="mlk" hidden="1">{"DECIMAL",#N/A,FALSE,"02"}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mmmm" hidden="1">{"'장비'!$A$3:$M$12"}</definedName>
    <definedName name="mmmmm" hidden="1">{"tabela",#N/A,FALSE,"Tabela";"decoração",#N/A,FALSE,"Decor.";"Informações",#N/A,FALSE,"Inform."}</definedName>
    <definedName name="mmmmmm">#REF!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z">"Retângulo 297"</definedName>
    <definedName name="MN">#REF!</definedName>
    <definedName name="MN.FRM">#REF!</definedName>
    <definedName name="MNI">#REF!</definedName>
    <definedName name="mo">#REF!</definedName>
    <definedName name="mo_base">#REF!</definedName>
    <definedName name="mo_sub_base">#REF!</definedName>
    <definedName name="MOBR">#REF!</definedName>
    <definedName name="módulo1.Extenso">#N/A</definedName>
    <definedName name="MOE">#REF!</definedName>
    <definedName name="MOEDAAT">#REF!</definedName>
    <definedName name="MOEDAEP">#REF!</definedName>
    <definedName name="MOH">#REF!</definedName>
    <definedName name="moinst">#REF!</definedName>
    <definedName name="mol">#REF!</definedName>
    <definedName name="Monitoramento_de_OAC_Caixas_de_ligação_Reg_I_Lista">#REF!</definedName>
    <definedName name="montecarlo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Ug">#REF!</definedName>
    <definedName name="Mult">#REF!</definedName>
    <definedName name="Multi_Plate___MP100___Espessura___2_7___Ø___1_2___Revest.___Concreto">#REF!</definedName>
    <definedName name="MURBOMB">#REF!</definedName>
    <definedName name="MVA">#REF!</definedName>
    <definedName name="n">27</definedName>
    <definedName name="N._FUND.">#REF!</definedName>
    <definedName name="n_1">#REF!</definedName>
    <definedName name="N_APTOS">#REF!</definedName>
    <definedName name="N_BANCADA_T1">#REF!</definedName>
    <definedName name="N_BANCADA_T10">#REF!</definedName>
    <definedName name="N_BANCADA_T2">#REF!</definedName>
    <definedName name="N_BANCADA_T3">#REF!</definedName>
    <definedName name="N_BANCADA_T4">#REF!</definedName>
    <definedName name="N_BANCADA_T5">#REF!</definedName>
    <definedName name="N_BANCADA_T6">#REF!</definedName>
    <definedName name="N_BANCADA_T7">#REF!</definedName>
    <definedName name="N_BANCADA_T8">#REF!</definedName>
    <definedName name="N_BANCADA_T9">#REF!</definedName>
    <definedName name="N_BANCADAS">#REF!</definedName>
    <definedName name="N_BANHOS_AC_SER">#REF!</definedName>
    <definedName name="N_BANHOS_AC_SOC">#REF!</definedName>
    <definedName name="N_BANHOS_UA">#REF!</definedName>
    <definedName name="N_BASES">#REF!</definedName>
    <definedName name="N_BoxCY_BoxCulvertTakeOff">#REF!</definedName>
    <definedName name="N_CurbCY_BoxCulvertTakeOff">#REF!</definedName>
    <definedName name="N_DORM_UA">#REF!</definedName>
    <definedName name="N_ELEV_B">#REF!</definedName>
    <definedName name="N_ELEV_C">#REF!</definedName>
    <definedName name="N_ELEV_COMUM">#REF!</definedName>
    <definedName name="N_ESTACAS_TORRE">#REF!</definedName>
    <definedName name="N_ESTACAS_TOTAL">#REF!</definedName>
    <definedName name="N_EXAUSTAO_UA">#REF!</definedName>
    <definedName name="N_FER_ALCAPAO1">#REF!</definedName>
    <definedName name="N_FER_ALCAPAO2">#REF!</definedName>
    <definedName name="N_FER_ALCAPAO3">#REF!</definedName>
    <definedName name="N_FootingsCY_BoxCulvertTakeOff">#REF!</definedName>
    <definedName name="N_FormContactCY_BoxCulvertTakeOff">#REF!</definedName>
    <definedName name="N_FUNCIONARIOS">#REF!</definedName>
    <definedName name="N_HiddenFinishSF_BoxCulvertTakeOff">#REF!</definedName>
    <definedName name="N_InletApronCY_BoxCulvertTakeOff">#REF!</definedName>
    <definedName name="N_InletCutoffCY_BoxCulvertTakeOff">#REF!</definedName>
    <definedName name="N_InletWingsCY_BoxCulvertTakeOff">#REF!</definedName>
    <definedName name="N_INSUMOS">#REF!</definedName>
    <definedName name="N_LAVABOS_UA">#REF!</definedName>
    <definedName name="N_OutletApronCY_BoxCulvertTakeOff">#REF!</definedName>
    <definedName name="N_OutletCutoffCY_BoxCulvertTakeOff">#REF!</definedName>
    <definedName name="N_OutletWingsCY_BoxCulvertTakeOff">#REF!</definedName>
    <definedName name="N_PARADAS_ELEV">#REF!</definedName>
    <definedName name="N_PARADAS_TRANSFER">#REF!</definedName>
    <definedName name="N_PAV_A">#REF!</definedName>
    <definedName name="N_PAV_B">#REF!</definedName>
    <definedName name="N_PAV_C">#REF!</definedName>
    <definedName name="N_PCCwithWasteCY_BoxCulvertTakeOff">#REF!</definedName>
    <definedName name="N_PCF_DUPLA">#REF!</definedName>
    <definedName name="N_PCF_SIMPLES">#REF!</definedName>
    <definedName name="N_PORTA_102">#REF!</definedName>
    <definedName name="N_PORTA_62">#REF!</definedName>
    <definedName name="N_PORTA_72">#REF!</definedName>
    <definedName name="N_PORTA_82">#REF!</definedName>
    <definedName name="N_PORTA_82PCF">#REF!</definedName>
    <definedName name="N_PORTA_92">#REF!</definedName>
    <definedName name="N_PORTA_SHAFTELE">#REF!</definedName>
    <definedName name="N_PORTA_SHAFTHID">#REF!</definedName>
    <definedName name="N_PORTA_SHAFTSIST">#REF!</definedName>
    <definedName name="N_POSTIPO_A">#REF!</definedName>
    <definedName name="N_POSTIPO_B">#REF!</definedName>
    <definedName name="N_POSTIPO_C">#REF!</definedName>
    <definedName name="N_PRETIPO_A">#REF!</definedName>
    <definedName name="N_PRETIPO_B">#REF!</definedName>
    <definedName name="N_PRETIPO_C">#REF!</definedName>
    <definedName name="N_RALOS_APTO">#REF!</definedName>
    <definedName name="N_RALOS_BANHO">#REF!</definedName>
    <definedName name="N_REGISTROS_ASERV">#REF!</definedName>
    <definedName name="N_REGISTROS_BANHO">#REF!</definedName>
    <definedName name="N_TIPO_A">#REF!</definedName>
    <definedName name="N_TIPO_B">#REF!</definedName>
    <definedName name="N_TIPO_C">#REF!</definedName>
    <definedName name="N_TORRE_A">#REF!</definedName>
    <definedName name="N_TORRE_B">#REF!</definedName>
    <definedName name="N_TORRE_C">#REF!</definedName>
    <definedName name="N_TORRES">#REF!</definedName>
    <definedName name="N_TRANSFER">#REF!</definedName>
    <definedName name="N_VAGAS">#REF!</definedName>
    <definedName name="N_VisibleFinishSF_BoxCulvertTakeOff">#REF!</definedName>
    <definedName name="NA.FRM">#REF!</definedName>
    <definedName name="nada">#REF!</definedName>
    <definedName name="nao">#REF!</definedName>
    <definedName name="NDATA">#REF!</definedName>
    <definedName name="ndfldslvjnvberugberqubquierbv">#REF!</definedName>
    <definedName name="NE.FRM">#REF!</definedName>
    <definedName name="NEWNAME" hidden="1">{#N/A,#N/A,FALSE,"CCTV"}</definedName>
    <definedName name="NewReg">#N/A</definedName>
    <definedName name="NextKey1">#REF!</definedName>
    <definedName name="nkknk" hidden="1">{#N/A,#N/A,FALSE,"CCTV"}</definedName>
    <definedName name="nl">#REF!</definedName>
    <definedName name="nmm" hidden="1">{#N/A,#N/A,FALSE,"Profit Status";#N/A,#N/A,FALSE,"Invest";#N/A,#N/A,FALSE,"Revenue";#N/A,#N/A,FALSE,"Variable Cost";#N/A,#N/A,FALSE,"Options &amp; Series"}</definedName>
    <definedName name="NN">"Dialog Frame 1"</definedName>
    <definedName name="ññ" hidden="1">{#N/A,#N/A,FALSE,"PERSONAL";#N/A,#N/A,FALSE,"explotación";#N/A,#N/A,FALSE,"generales"}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O" hidden="1">{"PYGT",#N/A,FALSE,"PYG";"ACTIT",#N/A,FALSE,"BCE_GRAL-ACTIVO";"PASIT",#N/A,FALSE,"BCE_GRAL-PASIVO-PATRIM";"CAJAT",#N/A,FALSE,"CAJA"}</definedName>
    <definedName name="No_Período_Mês">#REF!</definedName>
    <definedName name="Nome">#REF!</definedName>
    <definedName name="Nome_do_Rep">#REF!</definedName>
    <definedName name="Nome_do_Representante">#REF!</definedName>
    <definedName name="nome_separadores">#REF!</definedName>
    <definedName name="NOMEDOPROJETO">#REF!</definedName>
    <definedName name="NOMEITEM">#REF!</definedName>
    <definedName name="NOMEOBRA">#REF!</definedName>
    <definedName name="Nominal_Total">#REF!</definedName>
    <definedName name="nossa" hidden="1">{#N/A,#N/A,FALSE,"Profit Status";#N/A,#N/A,FALSE,"Invest";#N/A,#N/A,FALSE,"Revenue";#N/A,#N/A,FALSE,"Variable Cost";#N/A,#N/A,FALSE,"Options &amp; Series"}</definedName>
    <definedName name="Nouveaux">#REF!</definedName>
    <definedName name="NOVE">#REF!</definedName>
    <definedName name="NOVO" hidden="1">{#N/A,#N/A,FALSE,"BOQCIC";#N/A,#N/A,FALSE,"3Ds";#N/A,#N/A,FALSE,"COST DETAIL"}</definedName>
    <definedName name="nry" hidden="1">{"offequipsch",#N/A,FALSE,"GTC_Schedule";"onconstsch",#N/A,FALSE,"GTC_Schedule";"techsch",#N/A,FALSE,"GTC_Schedule";"totsch",#N/A,FALSE,"GTC_Schedule"}</definedName>
    <definedName name="NUCOPIAS">#REF!</definedName>
    <definedName name="num_linhas">#REF!</definedName>
    <definedName name="num_mensal2">#REF!</definedName>
    <definedName name="numcond1">#REF!</definedName>
    <definedName name="numcond3">#REF!</definedName>
    <definedName name="NUMOBRA">#REF!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">#REF!</definedName>
    <definedName name="O_Item1AreaSF_StructuralConcTakeOff">#REF!</definedName>
    <definedName name="O_Item1VolCY_StructuralConcTakeOff">#REF!</definedName>
    <definedName name="O_Item2AreaSF_StructuralConcTakeOff">#REF!</definedName>
    <definedName name="O_Item2VolCY_StructuralConcTakeOff">#REF!</definedName>
    <definedName name="O_Item3AreaSF_StructuralConcTakeOff">#REF!</definedName>
    <definedName name="O_Item3VolCY_StructuralConcTakeOff">#REF!</definedName>
    <definedName name="O_Item4AreaSF_StructuralConcTakeOff">#REF!</definedName>
    <definedName name="O_Item4VolCY_StructuralConcTakeOff">#REF!</definedName>
    <definedName name="O_Item5AreaSF_StructuralConcTakeOff">#REF!</definedName>
    <definedName name="O_Item5VolCY_StructuralConcTakeOff">#REF!</definedName>
    <definedName name="O_TotAreaSF_StructuralConcTakeOff">#REF!</definedName>
    <definedName name="O_TotVolCY_StructuralConcTakeOff">#REF!</definedName>
    <definedName name="oac">#REF!</definedName>
    <definedName name="OAE">#REF!</definedName>
    <definedName name="OAE_MAR94">#REF!</definedName>
    <definedName name="oaeaa">#REF!</definedName>
    <definedName name="OBRA">#REF!</definedName>
    <definedName name="Obra1">#REF!</definedName>
    <definedName name="Obra2">#REF!</definedName>
    <definedName name="Obra3">#REF!</definedName>
    <definedName name="OBRALOC">#REF!</definedName>
    <definedName name="obras_de_arte_corrente_e_drenagem">#REF!</definedName>
    <definedName name="obras_de_arte_especiais">#REF!</definedName>
    <definedName name="obras_de_contenção_geotécnica">#REF!</definedName>
    <definedName name="OBRASEL">#REF!</definedName>
    <definedName name="OBSERV_2">#REF!</definedName>
    <definedName name="OBSERVACAO">#REF!</definedName>
    <definedName name="OBZ">#REF!</definedName>
    <definedName name="OBZGQ">#REF!</definedName>
    <definedName name="ocom">#REF!</definedName>
    <definedName name="ODH" hidden="1">#REF!</definedName>
    <definedName name="OF">#REF!</definedName>
    <definedName name="oi" hidden="1">#REF!</definedName>
    <definedName name="oililui" hidden="1">{#N/A,#N/A,FALSE,"CCTV"}</definedName>
    <definedName name="OITO">#REF!</definedName>
    <definedName name="OLE_LINK1_1">#REF!</definedName>
    <definedName name="olnah" hidden="1">{#N/A,#N/A,TRUE,"Summary";#N/A,#N/A,TRUE,"Worksheet";#N/A,#N/A,TRUE,"CashFlow"}</definedName>
    <definedName name="ONZE">#REF!</definedName>
    <definedName name="op">#REF!</definedName>
    <definedName name="OPA">#REF!</definedName>
    <definedName name="OPERAÇÕES.CANTEIRO">#REF!</definedName>
    <definedName name="Operador">#REF!</definedName>
    <definedName name="ORCAMEN">#REF!</definedName>
    <definedName name="Orcamentistas">#REF!</definedName>
    <definedName name="ORÇAMENTO" hidden="1">{"características",#N/A,TRUE,"Imprime1";"ciclos",#N/A,TRUE,"Imprime1"}</definedName>
    <definedName name="ORÇAMENTO_APROVADO">#REF!</definedName>
    <definedName name="orçamentox">#REF!</definedName>
    <definedName name="ORÇBN">#REF!</definedName>
    <definedName name="ORIG3">#REF!</definedName>
    <definedName name="ORIG4">#REF!</definedName>
    <definedName name="Original">#REF!</definedName>
    <definedName name="os">#REF!</definedName>
    <definedName name="OTHERS" hidden="1">{"'장비'!$A$3:$M$12"}</definedName>
    <definedName name="Outros">#REF!</definedName>
    <definedName name="OUTROS_CCUSTO">#REF!</definedName>
    <definedName name="Outros_Pisos">#REF!</definedName>
    <definedName name="Outros1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y" hidden="1">{"sheet1",#N/A,FALSE,"easheet";"sheet2a",#N/A,FALSE,"easheet";"sheet2b",#N/A,FALSE,"easheet";"sheet3",#N/A,FALSE,"easheet"}</definedName>
    <definedName name="p">0.2225</definedName>
    <definedName name="P.Total">#REF!</definedName>
    <definedName name="pa">#REF!</definedName>
    <definedName name="PACAOMAB">#REF!</definedName>
    <definedName name="PADRA">#REF!</definedName>
    <definedName name="PADRAO">#REF!</definedName>
    <definedName name="Padrao_A">#REF!</definedName>
    <definedName name="PADRAO_AZULEJO_A.S">#REF!</definedName>
    <definedName name="PADRAO_AZULEJO_BANHO">#REF!</definedName>
    <definedName name="PADRAO_AZULEJO_COZINH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DRAO_PISO_A.S">#REF!</definedName>
    <definedName name="PADRAO_PISO_AC">#REF!</definedName>
    <definedName name="PADRAO_PISO_BANHO">#REF!</definedName>
    <definedName name="PADRAO_PISO_COZINHA">#REF!</definedName>
    <definedName name="PADRAO_PISO_DORM">#REF!</definedName>
    <definedName name="PADRAO_PISO_EXTERNO">#REF!</definedName>
    <definedName name="PADRAO_PISO_HALL">#REF!</definedName>
    <definedName name="PADRAO_PISO_VARANDA">#REF!</definedName>
    <definedName name="PAG_1_2">#REF!</definedName>
    <definedName name="PAG_2_2">#REF!</definedName>
    <definedName name="PAG_3_2">#REF!</definedName>
    <definedName name="PAG_4_2">#REF!</definedName>
    <definedName name="PAG_5_2">#REF!</definedName>
    <definedName name="PAG_6_2">#REF!</definedName>
    <definedName name="PAG_AUX_FINAL">#REF!</definedName>
    <definedName name="PAG_AUX_INICIAL">#REF!</definedName>
    <definedName name="PAGE2" hidden="1">{#N/A,#N/A,FALSE,"Ejector 1";#N/A,#N/A,FALSE,"Ejector 2"}</definedName>
    <definedName name="page8a" hidden="1">{#N/A,#N/A,FALSE,"Profit Status";#N/A,#N/A,FALSE,"Invest";#N/A,#N/A,FALSE,"Revenue";#N/A,#N/A,FALSE,"Variable Cost";#N/A,#N/A,FALSE,"Options &amp; Series"}</definedName>
    <definedName name="PAGTO">#REF!</definedName>
    <definedName name="PAGTO1">#REF!</definedName>
    <definedName name="Painel_Custo">#REF!</definedName>
    <definedName name="Painel_Fluxo_Desemb">#REF!</definedName>
    <definedName name="Painel_Prazo">#REF!</definedName>
    <definedName name="Painel_Qualidade">#REF!</definedName>
    <definedName name="PAIS2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AISAGISMO">#REF!</definedName>
    <definedName name="PARAM_FIS_1">#REF!</definedName>
    <definedName name="PARAM_FIS_2">#REF!</definedName>
    <definedName name="Parao_E">#REF!</definedName>
    <definedName name="parc_mensal">#REF!</definedName>
    <definedName name="Parede">#REF!</definedName>
    <definedName name="PAREDE_MAT">#REF!</definedName>
    <definedName name="PAREDE_MO">#REF!</definedName>
    <definedName name="Parede1">#REF!</definedName>
    <definedName name="Parede2">#REF!</definedName>
    <definedName name="Pareto" hidden="1">{#N/A,#N/A,FALSE,"F-01"}</definedName>
    <definedName name="PARFAIXAMAT">#REF!</definedName>
    <definedName name="PARFAIXAMO">#REF!</definedName>
    <definedName name="participacao">#REF!</definedName>
    <definedName name="PAUSETIMER">#REF!</definedName>
    <definedName name="PAUTA">#REF!</definedName>
    <definedName name="PAV">#REF!</definedName>
    <definedName name="PAV_MAR94">#REF!</definedName>
    <definedName name="Pav_preços">#REF!</definedName>
    <definedName name="pavaa">#REF!</definedName>
    <definedName name="pavi">#REF!</definedName>
    <definedName name="pavimentação">#REF!</definedName>
    <definedName name="pavtos">OFFSET(#REF!,0,0,COUNTA(#REF!),1)</definedName>
    <definedName name="Payment_Needed">"Pagamento necessário"</definedName>
    <definedName name="PaymentBreakdown" hidden="1">{#N/A,#N/A,FALSE,"CCTV"}</definedName>
    <definedName name="PD_TIPO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pito" hidden="1">#REF!</definedName>
    <definedName name="PER_BAGUETE_T1">#REF!</definedName>
    <definedName name="PER_BAGUETE_T2">#REF!</definedName>
    <definedName name="PER_BAGUETE_T3">#REF!</definedName>
    <definedName name="PER_BORDA_PISCINA">#REF!</definedName>
    <definedName name="PER_CONTRAMARCO">#REF!</definedName>
    <definedName name="PER_FER_CORRIMAO">#REF!</definedName>
    <definedName name="PER_FRISO_ADICIONAL">#REF!</definedName>
    <definedName name="PER_FRISO_TEC">#REF!</definedName>
    <definedName name="PER_MURETA">#REF!</definedName>
    <definedName name="PER_MURO">#REF!</definedName>
    <definedName name="PER_PEITORIL_JANELA">#REF!</definedName>
    <definedName name="PER_RODAPE_ASERV">#REF!</definedName>
    <definedName name="PER_RODAPE_BANHO">#REF!</definedName>
    <definedName name="PER_RODAPE_COMUM">#REF!</definedName>
    <definedName name="PER_RODAPE_COZINHA">#REF!</definedName>
    <definedName name="PER_RODAPE_DORM">#REF!</definedName>
    <definedName name="PER_RODAPE_EXTERNA">#REF!</definedName>
    <definedName name="PER_RODAPE_HALL">#REF!</definedName>
    <definedName name="PER_RODAPE_MADEIRA">#REF!</definedName>
    <definedName name="PER_RODAPE_POLIESTIRENO">#REF!</definedName>
    <definedName name="PER_RODAPE_SALA">#REF!</definedName>
    <definedName name="PER_RODAPE_TENTO_PEDRA">#REF!</definedName>
    <definedName name="PER_RODAPE_TERRACO">#REF!</definedName>
    <definedName name="PER_RODAPE_VINILICO">#REF!</definedName>
    <definedName name="PER_SOLEIRA_T1">#REF!</definedName>
    <definedName name="PER_SOLEIRA_T2">#REF!</definedName>
    <definedName name="PER_SOLEIRA_T3">#REF!</definedName>
    <definedName name="PER_SOLEIRA_T4">#REF!</definedName>
    <definedName name="PER_SOLEIRA_T5">#REF!</definedName>
    <definedName name="PER_TENTO_T1">#REF!</definedName>
    <definedName name="PER_TENTO_T2">#REF!</definedName>
    <definedName name="PER_TENTO_T3">#REF!</definedName>
    <definedName name="PER_TORRE_A">#REF!</definedName>
    <definedName name="PER_TORRE_B">#REF!</definedName>
    <definedName name="PER_TORRE_C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_VARANDA_PAV">#REF!</definedName>
    <definedName name="Percent_Financeiro">#REF!</definedName>
    <definedName name="Percent_Fisico">#REF!</definedName>
    <definedName name="Percentual">#REF!</definedName>
    <definedName name="PERDA_ACO_ESTRUTURA">#REF!</definedName>
    <definedName name="PERDA_ACO_FND">#REF!</definedName>
    <definedName name="PERDA_ALV">#REF!</definedName>
    <definedName name="PERDA_CONC_BLOCOS">#REF!</definedName>
    <definedName name="PERDA_CONC_ESTACA_G">#REF!</definedName>
    <definedName name="PERDA_CONC_ESTACA_P">#REF!</definedName>
    <definedName name="PERDA_CONC_ESTRUTURA">#REF!</definedName>
    <definedName name="perfura">#REF!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O">#REF!</definedName>
    <definedName name="pesquisa">#REF!</definedName>
    <definedName name="pessoal">#REF!</definedName>
    <definedName name="PESSOAL.PERMANENTE">#REF!</definedName>
    <definedName name="Pfim0">#REF!</definedName>
    <definedName name="Pfim0a">#REF!</definedName>
    <definedName name="Pfim1">#REF!</definedName>
    <definedName name="Pg_final">#REF!</definedName>
    <definedName name="Pg_inicial">#REF!</definedName>
    <definedName name="PHAROS_CURTA">#REF!</definedName>
    <definedName name="PHAROS_LONGA">#REF!</definedName>
    <definedName name="PIEQUIP">#REF!</definedName>
    <definedName name="PILARES">#REF!</definedName>
    <definedName name="PINTFOR">#REF!</definedName>
    <definedName name="PINTPAR">#REF!</definedName>
    <definedName name="PINTURA">#REF!</definedName>
    <definedName name="PINTURAS">#REF!</definedName>
    <definedName name="PisCofins">#REF!</definedName>
    <definedName name="PISO">#REF!</definedName>
    <definedName name="Piso1">#REF!</definedName>
    <definedName name="Piso2">#REF!</definedName>
    <definedName name="Pisos">#REF!</definedName>
    <definedName name="PISOS.EXTERNOS">#REF!</definedName>
    <definedName name="PISOS.INTERNOS">#REF!</definedName>
    <definedName name="PKAAA" hidden="1">#REF!</definedName>
    <definedName name="PKBB" hidden="1">#REF!</definedName>
    <definedName name="PKCC" hidden="1">#REF!</definedName>
    <definedName name="PL_ABC">#REF!</definedName>
    <definedName name="PLACAS" hidden="1">{#N/A,#N/A,TRUE,"Quinzena 01 à 15-04-98 "}</definedName>
    <definedName name="Placas_Areas" hidden="1">{#N/A,#N/A,TRUE,"Quinzena 01 à 15-04-98 "}</definedName>
    <definedName name="plamnsj" hidden="1">{#N/A,#N/A,TRUE,"Summary";#N/A,#N/A,TRUE,"Worksheet";#N/A,#N/A,TRUE,"CashFlow"}</definedName>
    <definedName name="plan">#REF!</definedName>
    <definedName name="PLAN1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75">#REF!</definedName>
    <definedName name="PLANILHA">#REF!</definedName>
    <definedName name="PLANILHA_PSCONTRATO">#REF!</definedName>
    <definedName name="planilha_SAP">#REF!</definedName>
    <definedName name="planilha_sintética01">#REF!</definedName>
    <definedName name="planilha1">#REF!</definedName>
    <definedName name="planilha10">#REF!</definedName>
    <definedName name="PLANILHA2">#REF!</definedName>
    <definedName name="PLANILHA67">#REF!</definedName>
    <definedName name="PLANILHA83">#REF!</definedName>
    <definedName name="planilhaCOMERCIAL">#REF!</definedName>
    <definedName name="planilhaCOMUM">#REF!</definedName>
    <definedName name="planilhaCORPORATIVA">#REF!</definedName>
    <definedName name="planilhaLT1">#REF!</definedName>
    <definedName name="planilhaLT2">#REF!</definedName>
    <definedName name="planilhaLT3">#REF!</definedName>
    <definedName name="planilhaLT4">#REF!</definedName>
    <definedName name="planilhaLT5">#REF!</definedName>
    <definedName name="planilhaLT6">#REF!</definedName>
    <definedName name="planilhaok">#REF!</definedName>
    <definedName name="Planilhas">#REF!</definedName>
    <definedName name="planilhaSAP">#REF!</definedName>
    <definedName name="PLANILHASINTETICA">#REF!</definedName>
    <definedName name="PLANILHATRIPLEA">#REF!</definedName>
    <definedName name="PLANITOTAL">#REF!</definedName>
    <definedName name="plano">#REF!</definedName>
    <definedName name="planoContas">#REF!</definedName>
    <definedName name="PlanoDeContas">#REF!</definedName>
    <definedName name="PLANODESERVIÇO">#REF!</definedName>
    <definedName name="Plaza_Mayor_Ipiranga">#REF!</definedName>
    <definedName name="PLLOJA">#REF!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poipou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Ponderações">#REF!</definedName>
    <definedName name="PONTE">#REF!</definedName>
    <definedName name="PONTE_2">#REF!</definedName>
    <definedName name="PONTE_5">#REF!</definedName>
    <definedName name="PONTE_6">#REF!</definedName>
    <definedName name="PONTE_7">#REF!</definedName>
    <definedName name="Popular" hidden="1">{#N/A,#N/A,FALSE,"Cronograma";#N/A,#N/A,FALSE,"Cronogr. 2"}</definedName>
    <definedName name="PORTARIA_CASAS">#REF!</definedName>
    <definedName name="PORTARIA_PRÉDIOS">#REF!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_TIPO">#REF!</definedName>
    <definedName name="PPP" hidden="1">{#N/A,#N/A,FALSE,"CCTV"}</definedName>
    <definedName name="pppp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t_pistas_e_patios">#REF!</definedName>
    <definedName name="ppu" hidden="1">{#N/A,#N/A,FALSE,"Cronograma";#N/A,#N/A,FALSE,"Cronogr. 2"}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">#REF!</definedName>
    <definedName name="PRACHEAM">#REF!</definedName>
    <definedName name="praco">#REF!</definedName>
    <definedName name="PRANCHEAM">#REF!</definedName>
    <definedName name="PRAYER" hidden="1">{#N/A,#N/A,FALSE,"CCTV"}</definedName>
    <definedName name="PRAZO">#REF!</definedName>
    <definedName name="PRAZO_BANDEJA_PRINCIPAL">#REF!</definedName>
    <definedName name="PRAZO_BANDEJA_SECUNDARIA">#REF!</definedName>
    <definedName name="PRAZO_BLOCO_FND">#REF!</definedName>
    <definedName name="PRAZO_EDITAL">#REF!</definedName>
    <definedName name="PRAZO_ENTREGA_OBRA">#REF!</definedName>
    <definedName name="PRAZO_ESTRUTURA">#REF!</definedName>
    <definedName name="PRAZO_FACHADA">#REF!</definedName>
    <definedName name="PRAZO_FUNDACAO">#REF!</definedName>
    <definedName name="PRAZO_FUNDACAO_PROFUNDA">#REF!</definedName>
    <definedName name="prazo_obra">#REF!</definedName>
    <definedName name="PRAZO_ORC">#REF!</definedName>
    <definedName name="PRAZO1A">#REF!</definedName>
    <definedName name="PRE">#REF!</definedName>
    <definedName name="PRE_CORR">#REF!</definedName>
    <definedName name="preaa">#REF!</definedName>
    <definedName name="PREÇ">OFFSET(#REF!,0,0,COUNTA(#REF!),1)</definedName>
    <definedName name="precoaco">#REF!</definedName>
    <definedName name="precoconcreto">#REF!</definedName>
    <definedName name="preços">#REF!</definedName>
    <definedName name="PRÉDIO17">#REF!</definedName>
    <definedName name="PREDIO6">#REF!</definedName>
    <definedName name="PREMISSAS">#REF!</definedName>
    <definedName name="PREMISSAS__DE__ESTUDO">#REF!</definedName>
    <definedName name="PREPARO.TERRENO">#REF!</definedName>
    <definedName name="Previsão_Vento1">#REF!</definedName>
    <definedName name="PRICE_TABLE" hidden="1">{#N/A,#N/A,FALSE,"ENG'G(보호계전기)"}</definedName>
    <definedName name="principal">0.2225</definedName>
    <definedName name="Print">#REF!</definedName>
    <definedName name="Print_Area_MI">#REF!</definedName>
    <definedName name="Print_Area_MI_1">#REF!</definedName>
    <definedName name="Print_Titles">#REF!</definedName>
    <definedName name="Print_Titles_MI">#REF!</definedName>
    <definedName name="Print_Titles_MI_1">#REF!</definedName>
    <definedName name="Printarea">#REF!</definedName>
    <definedName name="PRINTCPU">#REF!</definedName>
    <definedName name="PRINTMECANICA">#REF!</definedName>
    <definedName name="PRINTRASCUNHO">#REF!</definedName>
    <definedName name="PROC" hidden="1">{"NORMAL",#N/A,FALSE,"02"}</definedName>
    <definedName name="PROD">OFFSET(#REF!,0,0,11,COUNTA(#REF!))</definedName>
    <definedName name="PRODUÇÃO">#REF!</definedName>
    <definedName name="PRODUTIVIDADE">#REF!</definedName>
    <definedName name="PRODUTIVIDADEQA">#REF!</definedName>
    <definedName name="PRODUTO">#REF!</definedName>
    <definedName name="PRODUTOS">#REF!</definedName>
    <definedName name="ProForma">#REF!</definedName>
    <definedName name="ProFormaBase">#REF!</definedName>
    <definedName name="ProformaDate">#REF!</definedName>
    <definedName name="ProFormaDates">#REF!</definedName>
    <definedName name="Programada_1">#REF!</definedName>
    <definedName name="Programada_1_SP_t">#REF!</definedName>
    <definedName name="Programada_2">#REF!</definedName>
    <definedName name="Programada_2_SP_t">#REF!</definedName>
    <definedName name="Projeção_de_Custos">#REF!</definedName>
    <definedName name="Projetos">#REF!</definedName>
    <definedName name="PROPONENTE">#REF!</definedName>
    <definedName name="Proposta">#REF!</definedName>
    <definedName name="Proposta_Técnica_SP_t">#REF!</definedName>
    <definedName name="proteção">#REF!</definedName>
    <definedName name="Prueba01" hidden="1">{"NORMAL",#N/A,FALSE,"02"}</definedName>
    <definedName name="PSCASA_A">#REF!</definedName>
    <definedName name="PSCASA_B">#REF!</definedName>
    <definedName name="PSCASA_C">#REF!</definedName>
    <definedName name="PSCASA_D">#REF!</definedName>
    <definedName name="PSCASA_E">#REF!</definedName>
    <definedName name="PSCASA_F">#REF!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TCASA_A">#REF!</definedName>
    <definedName name="PTCASA_B">#REF!</definedName>
    <definedName name="PTCASA_C">#REF!</definedName>
    <definedName name="PTCASA_D">#REF!</definedName>
    <definedName name="PTCASA_E">#REF!</definedName>
    <definedName name="PTCASA_F">#REF!</definedName>
    <definedName name="PTG">#REF!</definedName>
    <definedName name="pu">#REF!</definedName>
    <definedName name="PVA">#REF!</definedName>
    <definedName name="PVC">#REF!</definedName>
    <definedName name="q">#REF!</definedName>
    <definedName name="QAUX">#REF!</definedName>
    <definedName name="QCLIENTE_PCLIENTE">#REF!</definedName>
    <definedName name="QCliente_PCliente1">#REF!</definedName>
    <definedName name="qdqwd">#REF!</definedName>
    <definedName name="qeewq" hidden="1">{"offequipsch",#N/A,FALSE,"GTC_Schedule";"onconstsch",#N/A,FALSE,"GTC_Schedule";"techsch",#N/A,FALSE,"GTC_Schedule";"totsch",#N/A,FALSE,"GTC_Schedule"}</definedName>
    <definedName name="QEFQEF" hidden="1">{"'장비'!$A$3:$M$12"}</definedName>
    <definedName name="QEQ">#REF!</definedName>
    <definedName name="qkqh1" hidden="1">{#N/A,#N/A,FALSE,"명세표"}</definedName>
    <definedName name="QMAT">#REF!</definedName>
    <definedName name="QMO">#REF!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_2">#N/A</definedName>
    <definedName name="QQQ">#REF!:#REF!</definedName>
    <definedName name="qqqq" hidden="1">{"'장비'!$A$3:$M$12"}</definedName>
    <definedName name="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" hidden="1">{#N/A,#N/A,FALSE,"CCTV"}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REAL_PCLIENTE">#REF!</definedName>
    <definedName name="QReal_PCliente1">#REF!</definedName>
    <definedName name="QSSAQ" hidden="1">{"DECIMAL",#N/A,FALSE,"02"}</definedName>
    <definedName name="QTAC">#REF!</definedName>
    <definedName name="QTD_ACO_EST">#REF!</definedName>
    <definedName name="QTD_ACO_POSTIPO">#REF!</definedName>
    <definedName name="QTD_ACO_PRETIPO">#REF!</definedName>
    <definedName name="QTD_ACO_TIPO">#REF!</definedName>
    <definedName name="QTD_CONCRETO_EST">#REF!</definedName>
    <definedName name="QTD_CONCRETO_POSTIPO">#REF!</definedName>
    <definedName name="QTD_CONCRETO_PRETIPO">#REF!</definedName>
    <definedName name="QTD_CONCRETO_TIPO">#REF!</definedName>
    <definedName name="QTD_ESQ_FERRO">#REF!</definedName>
    <definedName name="QTD_ESQ_MADEIRA">#REF!</definedName>
    <definedName name="qtd3esta">#REF!</definedName>
    <definedName name="qtdbase">#REF!</definedName>
    <definedName name="qtdbltub">#REF!</definedName>
    <definedName name="Qtde_Indice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A">#REF!</definedName>
    <definedName name="QTRES">#REF!</definedName>
    <definedName name="quadrocompar.">#REF!</definedName>
    <definedName name="QUALIDADADEQA">#REF!</definedName>
    <definedName name="QUALIDADE">#REF!</definedName>
    <definedName name="Quant">#REF!</definedName>
    <definedName name="QUANT_acumu">#REF!</definedName>
    <definedName name="QUANT_EQPTO">#REF!</definedName>
    <definedName name="quant_insumos">#REF!</definedName>
    <definedName name="quantidade">#REF!</definedName>
    <definedName name="QUANTP">#REF!</definedName>
    <definedName name="QUAT">#REF!</definedName>
    <definedName name="QUATRO">#REF!</definedName>
    <definedName name="QUIN">#REF!</definedName>
    <definedName name="QUINZE">#REF!</definedName>
    <definedName name="qw" hidden="1">{#N/A,#N/A,FALSE,"단가표지"}</definedName>
    <definedName name="qwe" hidden="1">{"'장비'!$A$3:$M$12"}</definedName>
    <definedName name="QWER" hidden="1">{#N/A,#N/A,FALSE,"CCTV"}</definedName>
    <definedName name="QWERT" hidden="1">{#N/A,#N/A,FALSE,"CCTV"}</definedName>
    <definedName name="qwerty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qwertyu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R.Imob">#REF!</definedName>
    <definedName name="rai" hidden="1">#REF!</definedName>
    <definedName name="RANGE1">#REF!</definedName>
    <definedName name="rarewt" hidden="1">{#N/A,#N/A,FALSE,"CCTV"}</definedName>
    <definedName name="RARQIMP">#REF!</definedName>
    <definedName name="RASC_APRES">#REF!</definedName>
    <definedName name="Rateio">#REF!</definedName>
    <definedName name="Rateio_">#REF!</definedName>
    <definedName name="RAZ">#REF!</definedName>
    <definedName name="rChave">#REF!</definedName>
    <definedName name="rd" hidden="1">{"offequipsch",#N/A,FALSE,"GTC_Schedule";"onconstsch",#N/A,FALSE,"GTC_Schedule";"techsch",#N/A,FALSE,"GTC_Schedule";"totsch",#N/A,FALSE,"GTC_Schedule"}</definedName>
    <definedName name="rdr" hidden="1">{"'8'!$B$1:$I$46"}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L">#REF!</definedName>
    <definedName name="REBAILENCOL">#REF!</definedName>
    <definedName name="REBAIXLENC">#REF!</definedName>
    <definedName name="RECADUC">#REF!</definedName>
    <definedName name="ReceitasDates">#REF!</definedName>
    <definedName name="ReceitasForecast">#REF!</definedName>
    <definedName name="recuperação_de_obras_de_arte_especiais">#REF!</definedName>
    <definedName name="Reforma" hidden="1">{#N/A,#N/A,FALSE,"BOQCIC";#N/A,#N/A,FALSE,"3Ds";#N/A,#N/A,FALSE,"COST DETAIL"}</definedName>
    <definedName name="reg">#REF!</definedName>
    <definedName name="REGULA">#REF!</definedName>
    <definedName name="Reimbursement">"Reembolso"</definedName>
    <definedName name="REL_RJ">#REF!</definedName>
    <definedName name="REL_SP">#REF!</definedName>
    <definedName name="renata">#REF!</definedName>
    <definedName name="renatak">#REF!</definedName>
    <definedName name="RENTABILIDAD" hidden="1">{"'resumen'!$A$1:$D$42"}</definedName>
    <definedName name="Report_Date">#REF!</definedName>
    <definedName name="ReqC">#REF!</definedName>
    <definedName name="Res">#REF!</definedName>
    <definedName name="ResCostoJul07" hidden="1">{"NORMAL",#N/A,FALSE,"02"}</definedName>
    <definedName name="resfund">#REF!</definedName>
    <definedName name="RESULT">OFFSET(#REF!,0,0,COUNTA(#REF!),1)</definedName>
    <definedName name="Resultado">#REF!</definedName>
    <definedName name="Resultados_2004">#REF!</definedName>
    <definedName name="RESUMO" hidden="1">{#N/A,#N/A,TRUE,"Quinzena 01 à 15-04-98 "}</definedName>
    <definedName name="RESUMO_">#REF!</definedName>
    <definedName name="Resumo_10">#REF!</definedName>
    <definedName name="Resumo_11">#REF!</definedName>
    <definedName name="Resumo_2">#REF!</definedName>
    <definedName name="Resumo_5">#REF!</definedName>
    <definedName name="Resumo_6">#REF!</definedName>
    <definedName name="Resumo_7">#REF!</definedName>
    <definedName name="Resumo_9">#REF!</definedName>
    <definedName name="resumo_campeão">#REF!</definedName>
    <definedName name="resumo1">#REF!</definedName>
    <definedName name="RESUMO2" hidden="1">{#N/A,#N/A,TRUE,"Quinzena 01 à 15-04-98 "}</definedName>
    <definedName name="RESUMOLT2">#REF!</definedName>
    <definedName name="RESUMOLT3">#REF!</definedName>
    <definedName name="RESUMOLT5">#REF!</definedName>
    <definedName name="RESUMOLT6">#REF!</definedName>
    <definedName name="RESUMOPL">#REF!</definedName>
    <definedName name="resumoplok">#REF!</definedName>
    <definedName name="RESUMOTOTAL">#REF!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un">#REF!</definedName>
    <definedName name="Rev">#REF!</definedName>
    <definedName name="REV00">#REF!</definedName>
    <definedName name="revaa">#REF!</definedName>
    <definedName name="RevEcon">#REF!</definedName>
    <definedName name="RevEconItems">#REF!</definedName>
    <definedName name="REVEST.EXTERNOS">#REF!</definedName>
    <definedName name="REVEST.INTERNOS">#REF!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ão">#REF!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errtete" hidden="1">{#N/A,#N/A,FALSE,"Assumptions";#N/A,#N/A,FALSE,"Volumes";#N/A,#N/A,FALSE,"Pricing";#N/A,#N/A,FALSE,"Variable Cost";#N/A,#N/A,FALSE,"Investment";#N/A,#N/A,FALSE,"Profitability";#N/A,#N/A,FALSE,"Business Comparison"}</definedName>
    <definedName name="rfsd" hidden="1">#REF!</definedName>
    <definedName name="RFXS6R6676B1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GR" hidden="1">{"'장비'!$A$3:$M$12"}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o" hidden="1">{#N/A,#N/A,FALSE,"Cronograma";#N/A,#N/A,FALSE,"Cronogr. 2"}</definedName>
    <definedName name="RIO.FRM">#REF!</definedName>
    <definedName name="rkd" hidden="1">{#N/A,#N/A,FALSE,"CCTV"}</definedName>
    <definedName name="rLiberação">#REF!</definedName>
    <definedName name="rLimpar">#REF!</definedName>
    <definedName name="rm">#REF!</definedName>
    <definedName name="RMA">#REF!</definedName>
    <definedName name="RMO">#REF!</definedName>
    <definedName name="RN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g_curva_lbl">#REF!</definedName>
    <definedName name="rng_Despesas20">#REF!</definedName>
    <definedName name="RODAPE">#REF!</definedName>
    <definedName name="Rodapé">#REF!</definedName>
    <definedName name="Rodapés">#REF!</definedName>
    <definedName name="Rodateto">#REF!</definedName>
    <definedName name="rodovia">#REF!</definedName>
    <definedName name="ROMANO">#REF!</definedName>
    <definedName name="RONI">#REF!</definedName>
    <definedName name="ROTCOMP">#REF!</definedName>
    <definedName name="ROTIMP">#REF!</definedName>
    <definedName name="ROTRES">#REF!</definedName>
    <definedName name="Royalty" hidden="1">{#N/A,#N/A,FALSE,"Sheet1"}</definedName>
    <definedName name="RPHA">#REF!</definedName>
    <definedName name="RQTADUC">#REF!</definedName>
    <definedName name="rqtbeb">#REF!</definedName>
    <definedName name="RQTCHAF">#REF!</definedName>
    <definedName name="RQTDERV">#REF!</definedName>
    <definedName name="rr" hidden="1">{"PYGS",#N/A,FALSE,"PYG";"ACTIS",#N/A,FALSE,"BCE_GRAL-ACTIVO";"PASIS",#N/A,FALSE,"BCE_GRAL-PASIVO-PATRIM";"CAJAS",#N/A,FALSE,"CAJA"}</definedName>
    <definedName name="rRand">#REF!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nha">#REF!</definedName>
    <definedName name="rSenha_Usuário">#REF!</definedName>
    <definedName name="rSenha_Válida">#REF!</definedName>
    <definedName name="RSEQ">#REF!</definedName>
    <definedName name="RSRSRS">#REF!,#REF!,#REF!,#REF!,#REF!,#REF!,#REF!,#REF!,#REF!,#REF!,#REF!,#REF!,#REF!,#REF!,#REF!,#REF!,#REF!,#REF!,#REF!,#REF!,#REF!,#REF!,#REF!,#REF!,#REF!,#REF!,#REF!,#REF!,#REF!,#REF!,#REF!</definedName>
    <definedName name="RSRSRSRS">#REF!</definedName>
    <definedName name="RSSSS" hidden="1">#REF!</definedName>
    <definedName name="RSUBTOT">#REF!</definedName>
    <definedName name="rt" hidden="1">{"offequipsch",#N/A,FALSE,"GTC_Schedule";"onconstsch",#N/A,FALSE,"GTC_Schedule";"techsch",#N/A,FALSE,"GTC_Schedule";"totsch",#N/A,FALSE,"GTC_Schedule"}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C">#REF!</definedName>
    <definedName name="rte" hidden="1">{"offequipsch",#N/A,FALSE,"GTC_Schedule";"onconstsch",#N/A,FALSE,"GTC_Schedule";"techsch",#N/A,FALSE,"GTC_Schedule";"totsch",#N/A,FALSE,"GTC_Schedule"}</definedName>
    <definedName name="rtitbeb">#REF!</definedName>
    <definedName name="RTITCHAF">#REF!</definedName>
    <definedName name="RTP">#REF!</definedName>
    <definedName name="rtubos">#REF!</definedName>
    <definedName name="RTYE" hidden="1">{"'장비'!$A$3:$M$12"}</definedName>
    <definedName name="rtytry" hidden="1">{"'장비'!$A$3:$M$12"}</definedName>
    <definedName name="ry" hidden="1">{"offequipsch",#N/A,FALSE,"GTC_Schedule";"onconstsch",#N/A,FALSE,"GTC_Schedule";"techsch",#N/A,FALSE,"GTC_Schedule";"totsch",#N/A,FALSE,"GTC_Schedule"}</definedName>
    <definedName name="ry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c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d" hidden="1">#REF!</definedName>
    <definedName name="Saida">#REF!</definedName>
    <definedName name="Salário_Base">#REF!</definedName>
    <definedName name="SALAS" hidden="1">{#N/A,#N/A,FALSE,"BOQCIC";#N/A,#N/A,FALSE,"3Ds";#N/A,#N/A,FALSE,"COST DETAIL"}</definedName>
    <definedName name="SALDO1">#REF!</definedName>
    <definedName name="SALDO2">#REF!</definedName>
    <definedName name="Sales">#REF!</definedName>
    <definedName name="Sanitarios">#REF!</definedName>
    <definedName name="SAP1ªfase">#REF!</definedName>
    <definedName name="SAPATA">#REF!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BH">#REF!</definedName>
    <definedName name="SC">#REF!</definedName>
    <definedName name="SC.FRM">#REF!</definedName>
    <definedName name="Sch7Budget">#REF!</definedName>
    <definedName name="Sch7Dates">#REF!</definedName>
    <definedName name="Sch7Forecast">#REF!</definedName>
    <definedName name="Sch9Dates">#REF!</definedName>
    <definedName name="Sch9Forecast">#REF!</definedName>
    <definedName name="SCH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" hidden="1">#REF!</definedName>
    <definedName name="SDA">#REF!</definedName>
    <definedName name="sdf">#REF!</definedName>
    <definedName name="sdfasdf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sdfdf" hidden="1">{"'장비'!$A$3:$M$12"}</definedName>
    <definedName name="SDFDSF">#REF!</definedName>
    <definedName name="sdfdsfds" hidden="1">#REF!</definedName>
    <definedName name="sdfsd" hidden="1">{"'Estimativa de Lançamento-JAN'!$A$1:$AI$85"}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tju" hidden="1">{"offequipsch",#N/A,FALSE,"GTC_Schedule";"onconstsch",#N/A,FALSE,"GTC_Schedule";"techsch",#N/A,FALSE,"GTC_Schedule";"totsch",#N/A,FALSE,"GTC_Schedule"}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CUR">#REF!</definedName>
    <definedName name="seg">#REF!</definedName>
    <definedName name="segaa">#REF!</definedName>
    <definedName name="SEIS">#REF!</definedName>
    <definedName name="semestrais_longa">#REF!</definedName>
    <definedName name="SEMESTRAL">#REF!</definedName>
    <definedName name="Semnome">#REF!</definedName>
    <definedName name="Semnome___0">#REF!</definedName>
    <definedName name="Semnome___0___0">#REF!</definedName>
    <definedName name="Semnome___0___0___0">#REF!</definedName>
    <definedName name="Semnome___0___0___0___0">#REF!</definedName>
    <definedName name="Semnome___0___0___0___0___0">#REF!</definedName>
    <definedName name="Semnome___0___0___0___0___0___0">#REF!</definedName>
    <definedName name="Semnome___0___0___0___0___0___0___0">#REF!</definedName>
    <definedName name="Semnome_1">#REF!</definedName>
    <definedName name="Semnome_1_1">#REF!</definedName>
    <definedName name="sencount" hidden="1">1</definedName>
    <definedName name="serv">#REF!</definedName>
    <definedName name="servDNER">#REF!</definedName>
    <definedName name="SERVIÇOS">#REF!</definedName>
    <definedName name="serviços_de_proteção_ao_meio_ambiente">#REF!</definedName>
    <definedName name="Serviços_Decrescente">#REF!</definedName>
    <definedName name="serviços_preliminares">#REF!</definedName>
    <definedName name="serviços_terceirizados">#REF!</definedName>
    <definedName name="SETE">#REF!</definedName>
    <definedName name="sfasdgfdg">#REF!</definedName>
    <definedName name="SFDSFDSF">#REF!</definedName>
    <definedName name="sfh_1617">#REF!</definedName>
    <definedName name="SGarantia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07">#N/A</definedName>
    <definedName name="SHARED_FORMULA_208">#N/A</definedName>
    <definedName name="SHARED_FORMULA_209">#N/A</definedName>
    <definedName name="SHARED_FORMULA_21">#N/A</definedName>
    <definedName name="SHARED_FORMULA_210">#N/A</definedName>
    <definedName name="SHARED_FORMULA_211">#N/A</definedName>
    <definedName name="SHARED_FORMULA_212">#N/A</definedName>
    <definedName name="SHARED_FORMULA_213">#N/A</definedName>
    <definedName name="SHARED_FORMULA_214">#N/A</definedName>
    <definedName name="SHARED_FORMULA_215">#N/A</definedName>
    <definedName name="SHARED_FORMULA_216">#N/A</definedName>
    <definedName name="SHARED_FORMULA_217">#N/A</definedName>
    <definedName name="SHARED_FORMULA_218">#N/A</definedName>
    <definedName name="SHARED_FORMULA_219">#N/A</definedName>
    <definedName name="SHARED_FORMULA_22">#N/A</definedName>
    <definedName name="SHARED_FORMULA_220">#N/A</definedName>
    <definedName name="SHARED_FORMULA_221">#N/A</definedName>
    <definedName name="SHARED_FORMULA_222">#N/A</definedName>
    <definedName name="SHARED_FORMULA_223">#N/A</definedName>
    <definedName name="SHARED_FORMULA_224">#N/A</definedName>
    <definedName name="SHARED_FORMULA_225">#N/A</definedName>
    <definedName name="SHARED_FORMULA_226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38">#N/A</definedName>
    <definedName name="SHARED_FORMULA_239">#N/A</definedName>
    <definedName name="SHARED_FORMULA_24">#N/A</definedName>
    <definedName name="SHARED_FORMULA_240">#N/A</definedName>
    <definedName name="SHARED_FORMULA_241">#N/A</definedName>
    <definedName name="SHARED_FORMULA_242">#N/A</definedName>
    <definedName name="SHARED_FORMULA_243">#N/A</definedName>
    <definedName name="SHARED_FORMULA_244">#N/A</definedName>
    <definedName name="SHARED_FORMULA_245">#N/A</definedName>
    <definedName name="SHARED_FORMULA_246">#N/A</definedName>
    <definedName name="SHARED_FORMULA_247">#N/A</definedName>
    <definedName name="SHARED_FORMULA_248">#N/A</definedName>
    <definedName name="SHARED_FORMULA_249">#N/A</definedName>
    <definedName name="SHARED_FORMULA_25">#N/A</definedName>
    <definedName name="SHARED_FORMULA_250">#N/A</definedName>
    <definedName name="SHARED_FORMULA_251">#N/A</definedName>
    <definedName name="SHARED_FORMULA_252">#N/A</definedName>
    <definedName name="SHARED_FORMULA_253">#N/A</definedName>
    <definedName name="SHARED_FORMULA_254">#N/A</definedName>
    <definedName name="SHARED_FORMULA_255">#N/A</definedName>
    <definedName name="SHARED_FORMULA_256">#N/A</definedName>
    <definedName name="SHARED_FORMULA_257">#N/A</definedName>
    <definedName name="SHARED_FORMULA_258">#N/A</definedName>
    <definedName name="SHARED_FORMULA_259">#N/A</definedName>
    <definedName name="SHARED_FORMULA_26">#N/A</definedName>
    <definedName name="SHARED_FORMULA_260">#N/A</definedName>
    <definedName name="SHARED_FORMULA_261">#N/A</definedName>
    <definedName name="SHARED_FORMULA_262">#N/A</definedName>
    <definedName name="SHARED_FORMULA_263">#N/A</definedName>
    <definedName name="SHARED_FORMULA_264">#N/A</definedName>
    <definedName name="SHARED_FORMULA_265">#N/A</definedName>
    <definedName name="SHARED_FORMULA_266">#N/A</definedName>
    <definedName name="SHARED_FORMULA_267">#N/A</definedName>
    <definedName name="SHARED_FORMULA_268">#N/A</definedName>
    <definedName name="SHARED_FORMULA_269">#N/A</definedName>
    <definedName name="SHARED_FORMULA_27">#N/A</definedName>
    <definedName name="SHARED_FORMULA_270">#N/A</definedName>
    <definedName name="SHARED_FORMULA_271">#N/A</definedName>
    <definedName name="SHARED_FORMULA_272">#N/A</definedName>
    <definedName name="SHARED_FORMULA_273">#N/A</definedName>
    <definedName name="SHARED_FORMULA_274">#N/A</definedName>
    <definedName name="SHARED_FORMULA_275">#N/A</definedName>
    <definedName name="SHARED_FORMULA_276">#N/A</definedName>
    <definedName name="SHARED_FORMULA_277">#N/A</definedName>
    <definedName name="SHARED_FORMULA_278">#N/A</definedName>
    <definedName name="SHARED_FORMULA_279">#N/A</definedName>
    <definedName name="SHARED_FORMULA_28">#N/A</definedName>
    <definedName name="SHARED_FORMULA_280">#N/A</definedName>
    <definedName name="SHARED_FORMULA_281">#N/A</definedName>
    <definedName name="SHARED_FORMULA_282">#N/A</definedName>
    <definedName name="SHARED_FORMULA_283">#N/A</definedName>
    <definedName name="SHARED_FORMULA_284">#N/A</definedName>
    <definedName name="SHARED_FORMULA_285">#N/A</definedName>
    <definedName name="SHARED_FORMULA_286">#N/A</definedName>
    <definedName name="SHARED_FORMULA_287">#N/A</definedName>
    <definedName name="SHARED_FORMULA_288">#N/A</definedName>
    <definedName name="SHARED_FORMULA_289">#N/A</definedName>
    <definedName name="SHARED_FORMULA_29">#N/A</definedName>
    <definedName name="SHARED_FORMULA_290">#N/A</definedName>
    <definedName name="SHARED_FORMULA_291">#N/A</definedName>
    <definedName name="SHARED_FORMULA_292">#N/A</definedName>
    <definedName name="SHARED_FORMULA_293">#N/A</definedName>
    <definedName name="SHARED_FORMULA_294">#N/A</definedName>
    <definedName name="SHARED_FORMULA_295">#N/A</definedName>
    <definedName name="SHARED_FORMULA_296">#N/A</definedName>
    <definedName name="SHARED_FORMULA_297">#N/A</definedName>
    <definedName name="SHARED_FORMULA_298">#N/A</definedName>
    <definedName name="SHARED_FORMULA_299">#N/A</definedName>
    <definedName name="SHARED_FORMULA_3">#N/A</definedName>
    <definedName name="SHARED_FORMULA_30">#N/A</definedName>
    <definedName name="SHARED_FORMULA_300">#N/A</definedName>
    <definedName name="SHARED_FORMULA_301">#N/A</definedName>
    <definedName name="SHARED_FORMULA_302">#N/A</definedName>
    <definedName name="SHARED_FORMULA_303">#N/A</definedName>
    <definedName name="SHARED_FORMULA_304">#N/A</definedName>
    <definedName name="SHARED_FORMULA_305">#N/A</definedName>
    <definedName name="SHARED_FORMULA_306">#N/A</definedName>
    <definedName name="SHARED_FORMULA_307">#N/A</definedName>
    <definedName name="SHARED_FORMULA_308">#N/A</definedName>
    <definedName name="SHARED_FORMULA_309">#N/A</definedName>
    <definedName name="SHARED_FORMULA_31">#N/A</definedName>
    <definedName name="SHARED_FORMULA_310">#N/A</definedName>
    <definedName name="SHARED_FORMULA_311">#N/A</definedName>
    <definedName name="SHARED_FORMULA_312">#N/A</definedName>
    <definedName name="SHARED_FORMULA_313">#N/A</definedName>
    <definedName name="SHARED_FORMULA_314">#N/A</definedName>
    <definedName name="SHARED_FORMULA_315">#N/A</definedName>
    <definedName name="SHARED_FORMULA_316">#N/A</definedName>
    <definedName name="SHARED_FORMULA_317">#N/A</definedName>
    <definedName name="SHARED_FORMULA_318">#N/A</definedName>
    <definedName name="SHARED_FORMULA_319">#N/A</definedName>
    <definedName name="SHARED_FORMULA_32">#N/A</definedName>
    <definedName name="SHARED_FORMULA_320">#N/A</definedName>
    <definedName name="SHARED_FORMULA_321">#N/A</definedName>
    <definedName name="SHARED_FORMULA_322">#N/A</definedName>
    <definedName name="SHARED_FORMULA_323">#N/A</definedName>
    <definedName name="SHARED_FORMULA_324">#N/A</definedName>
    <definedName name="SHARED_FORMULA_325">#N/A</definedName>
    <definedName name="SHARED_FORMULA_326">#N/A</definedName>
    <definedName name="SHARED_FORMULA_327">#N/A</definedName>
    <definedName name="SHARED_FORMULA_328">#N/A</definedName>
    <definedName name="SHARED_FORMULA_329">#N/A</definedName>
    <definedName name="SHARED_FORMULA_33">#N/A</definedName>
    <definedName name="SHARED_FORMULA_330">#N/A</definedName>
    <definedName name="SHARED_FORMULA_331">#N/A</definedName>
    <definedName name="SHARED_FORMULA_332">#N/A</definedName>
    <definedName name="SHARED_FORMULA_333">#N/A</definedName>
    <definedName name="SHARED_FORMULA_334">#N/A</definedName>
    <definedName name="SHARED_FORMULA_335">#N/A</definedName>
    <definedName name="SHARED_FORMULA_336">#N/A</definedName>
    <definedName name="SHARED_FORMULA_337">#N/A</definedName>
    <definedName name="SHARED_FORMULA_338">#N/A</definedName>
    <definedName name="SHARED_FORMULA_339">#N/A</definedName>
    <definedName name="SHARED_FORMULA_34">#N/A</definedName>
    <definedName name="SHARED_FORMULA_340">#N/A</definedName>
    <definedName name="SHARED_FORMULA_341">#N/A</definedName>
    <definedName name="SHARED_FORMULA_342">#N/A</definedName>
    <definedName name="SHARED_FORMULA_343">#N/A</definedName>
    <definedName name="SHARED_FORMULA_344">#N/A</definedName>
    <definedName name="SHARED_FORMULA_345">#N/A</definedName>
    <definedName name="SHARED_FORMULA_346">#N/A</definedName>
    <definedName name="SHARED_FORMULA_347">#N/A</definedName>
    <definedName name="SHARED_FORMULA_348">#N/A</definedName>
    <definedName name="SHARED_FORMULA_349">#N/A</definedName>
    <definedName name="SHARED_FORMULA_35">#N/A</definedName>
    <definedName name="SHARED_FORMULA_350">#N/A</definedName>
    <definedName name="SHARED_FORMULA_351">#N/A</definedName>
    <definedName name="SHARED_FORMULA_352">#N/A</definedName>
    <definedName name="SHARED_FORMULA_353">#N/A</definedName>
    <definedName name="SHARED_FORMULA_354">#N/A</definedName>
    <definedName name="SHARED_FORMULA_355">#N/A</definedName>
    <definedName name="SHARED_FORMULA_356">#N/A</definedName>
    <definedName name="SHARED_FORMULA_357">#N/A</definedName>
    <definedName name="SHARED_FORMULA_358">#N/A</definedName>
    <definedName name="SHARED_FORMULA_359">#N/A</definedName>
    <definedName name="SHARED_FORMULA_36">#N/A</definedName>
    <definedName name="SHARED_FORMULA_360">#N/A</definedName>
    <definedName name="SHARED_FORMULA_361">#N/A</definedName>
    <definedName name="SHARED_FORMULA_362">#N/A</definedName>
    <definedName name="SHARED_FORMULA_363">#N/A</definedName>
    <definedName name="SHARED_FORMULA_364">#N/A</definedName>
    <definedName name="SHARED_FORMULA_365">#N/A</definedName>
    <definedName name="SHARED_FORMULA_366">#N/A</definedName>
    <definedName name="SHARED_FORMULA_367">#N/A</definedName>
    <definedName name="SHARED_FORMULA_368">#N/A</definedName>
    <definedName name="SHARED_FORMULA_369">#N/A</definedName>
    <definedName name="SHARED_FORMULA_37">#N/A</definedName>
    <definedName name="SHARED_FORMULA_370">#N/A</definedName>
    <definedName name="SHARED_FORMULA_371">#N/A</definedName>
    <definedName name="SHARED_FORMULA_372">#N/A</definedName>
    <definedName name="SHARED_FORMULA_373">#N/A</definedName>
    <definedName name="SHARED_FORMULA_374">#N/A</definedName>
    <definedName name="SHARED_FORMULA_375">#N/A</definedName>
    <definedName name="SHARED_FORMULA_376">#N/A</definedName>
    <definedName name="SHARED_FORMULA_377">#N/A</definedName>
    <definedName name="SHARED_FORMULA_378">#N/A</definedName>
    <definedName name="SHARED_FORMULA_379">#N/A</definedName>
    <definedName name="SHARED_FORMULA_38">#N/A</definedName>
    <definedName name="SHARED_FORMULA_380">#N/A</definedName>
    <definedName name="SHARED_FORMULA_381">#N/A</definedName>
    <definedName name="SHARED_FORMULA_382">#N/A</definedName>
    <definedName name="SHARED_FORMULA_383">#N/A</definedName>
    <definedName name="SHARED_FORMULA_384">#N/A</definedName>
    <definedName name="SHARED_FORMULA_385">#N/A</definedName>
    <definedName name="SHARED_FORMULA_386">#N/A</definedName>
    <definedName name="SHARED_FORMULA_387">#N/A</definedName>
    <definedName name="SHARED_FORMULA_388">#N/A</definedName>
    <definedName name="SHARED_FORMULA_389">#N/A</definedName>
    <definedName name="SHARED_FORMULA_39">#N/A</definedName>
    <definedName name="SHARED_FORMULA_390">#N/A</definedName>
    <definedName name="SHARED_FORMULA_391">#N/A</definedName>
    <definedName name="SHARED_FORMULA_392">#N/A</definedName>
    <definedName name="SHARED_FORMULA_393">#N/A</definedName>
    <definedName name="SHARED_FORMULA_394">#N/A</definedName>
    <definedName name="SHARED_FORMULA_395">#N/A</definedName>
    <definedName name="SHARED_FORMULA_396">#N/A</definedName>
    <definedName name="SHARED_FORMULA_397">#N/A</definedName>
    <definedName name="SHARED_FORMULA_398">#N/A</definedName>
    <definedName name="SHARED_FORMULA_399">#N/A</definedName>
    <definedName name="SHARED_FORMULA_4">#N/A</definedName>
    <definedName name="SHARED_FORMULA_40">#N/A</definedName>
    <definedName name="SHARED_FORMULA_400">#N/A</definedName>
    <definedName name="SHARED_FORMULA_401">#N/A</definedName>
    <definedName name="SHARED_FORMULA_402">#N/A</definedName>
    <definedName name="SHARED_FORMULA_403">#N/A</definedName>
    <definedName name="SHARED_FORMULA_404">#N/A</definedName>
    <definedName name="SHARED_FORMULA_405">#N/A</definedName>
    <definedName name="SHARED_FORMULA_406">#N/A</definedName>
    <definedName name="SHARED_FORMULA_407">#N/A</definedName>
    <definedName name="SHARED_FORMULA_408">#N/A</definedName>
    <definedName name="SHARED_FORMULA_409">#N/A</definedName>
    <definedName name="SHARED_FORMULA_41">#N/A</definedName>
    <definedName name="SHARED_FORMULA_410">#N/A</definedName>
    <definedName name="SHARED_FORMULA_411">#N/A</definedName>
    <definedName name="SHARED_FORMULA_412">#N/A</definedName>
    <definedName name="SHARED_FORMULA_413">#N/A</definedName>
    <definedName name="SHARED_FORMULA_414">#N/A</definedName>
    <definedName name="SHARED_FORMULA_415">#N/A</definedName>
    <definedName name="SHARED_FORMULA_416">#N/A</definedName>
    <definedName name="SHARED_FORMULA_417">#N/A</definedName>
    <definedName name="SHARED_FORMULA_418">#N/A</definedName>
    <definedName name="SHARED_FORMULA_419">#N/A</definedName>
    <definedName name="SHARED_FORMULA_42">#N/A</definedName>
    <definedName name="SHARED_FORMULA_420">#N/A</definedName>
    <definedName name="SHARED_FORMULA_421">#N/A</definedName>
    <definedName name="SHARED_FORMULA_422">#N/A</definedName>
    <definedName name="SHARED_FORMULA_423">#N/A</definedName>
    <definedName name="SHARED_FORMULA_424">#N/A</definedName>
    <definedName name="SHARED_FORMULA_425">#N/A</definedName>
    <definedName name="SHARED_FORMULA_426">#N/A</definedName>
    <definedName name="SHARED_FORMULA_427">#N/A</definedName>
    <definedName name="SHARED_FORMULA_428">#N/A</definedName>
    <definedName name="SHARED_FORMULA_429">#N/A</definedName>
    <definedName name="SHARED_FORMULA_43">#N/A</definedName>
    <definedName name="SHARED_FORMULA_430">#N/A</definedName>
    <definedName name="SHARED_FORMULA_431">#N/A</definedName>
    <definedName name="SHARED_FORMULA_432">#N/A</definedName>
    <definedName name="SHARED_FORMULA_433">#N/A</definedName>
    <definedName name="SHARED_FORMULA_434">#N/A</definedName>
    <definedName name="SHARED_FORMULA_435">#N/A</definedName>
    <definedName name="SHARED_FORMULA_436">#N/A</definedName>
    <definedName name="SHARED_FORMULA_437">#N/A</definedName>
    <definedName name="SHARED_FORMULA_438">#N/A</definedName>
    <definedName name="SHARED_FORMULA_439">#N/A</definedName>
    <definedName name="SHARED_FORMULA_44">#N/A</definedName>
    <definedName name="SHARED_FORMULA_440">#N/A</definedName>
    <definedName name="SHARED_FORMULA_441">#N/A</definedName>
    <definedName name="SHARED_FORMULA_442">#N/A</definedName>
    <definedName name="SHARED_FORMULA_443">#N/A</definedName>
    <definedName name="SHARED_FORMULA_444">#N/A</definedName>
    <definedName name="SHARED_FORMULA_445">#N/A</definedName>
    <definedName name="SHARED_FORMULA_446">#N/A</definedName>
    <definedName name="SHARED_FORMULA_447">#N/A</definedName>
    <definedName name="SHARED_FORMULA_448">#N/A</definedName>
    <definedName name="SHARED_FORMULA_449">#N/A</definedName>
    <definedName name="SHARED_FORMULA_45">#N/A</definedName>
    <definedName name="SHARED_FORMULA_450">#N/A</definedName>
    <definedName name="SHARED_FORMULA_451">#N/A</definedName>
    <definedName name="SHARED_FORMULA_452">#N/A</definedName>
    <definedName name="SHARED_FORMULA_453">#N/A</definedName>
    <definedName name="SHARED_FORMULA_454">#N/A</definedName>
    <definedName name="SHARED_FORMULA_455">#N/A</definedName>
    <definedName name="SHARED_FORMULA_456">#N/A</definedName>
    <definedName name="SHARED_FORMULA_457">#N/A</definedName>
    <definedName name="SHARED_FORMULA_458">#N/A</definedName>
    <definedName name="SHARED_FORMULA_459">#N/A</definedName>
    <definedName name="SHARED_FORMULA_46">#N/A</definedName>
    <definedName name="SHARED_FORMULA_460">#N/A</definedName>
    <definedName name="SHARED_FORMULA_461">#N/A</definedName>
    <definedName name="SHARED_FORMULA_462">#N/A</definedName>
    <definedName name="SHARED_FORMULA_463">#N/A</definedName>
    <definedName name="SHARED_FORMULA_464">#N/A</definedName>
    <definedName name="SHARED_FORMULA_465">#N/A</definedName>
    <definedName name="SHARED_FORMULA_466">#N/A</definedName>
    <definedName name="SHARED_FORMULA_467">#N/A</definedName>
    <definedName name="SHARED_FORMULA_468">#N/A</definedName>
    <definedName name="SHARED_FORMULA_469">#N/A</definedName>
    <definedName name="SHARED_FORMULA_47">#N/A</definedName>
    <definedName name="SHARED_FORMULA_470">#N/A</definedName>
    <definedName name="SHARED_FORMULA_471">#N/A</definedName>
    <definedName name="SHARED_FORMULA_472">#N/A</definedName>
    <definedName name="SHARED_FORMULA_473">#N/A</definedName>
    <definedName name="SHARED_FORMULA_474">#N/A</definedName>
    <definedName name="SHARED_FORMULA_475">#N/A</definedName>
    <definedName name="SHARED_FORMULA_476">#N/A</definedName>
    <definedName name="SHARED_FORMULA_477">#N/A</definedName>
    <definedName name="SHARED_FORMULA_478">#N/A</definedName>
    <definedName name="SHARED_FORMULA_479">#N/A</definedName>
    <definedName name="SHARED_FORMULA_48">#N/A</definedName>
    <definedName name="SHARED_FORMULA_480">#N/A</definedName>
    <definedName name="SHARED_FORMULA_481">#N/A</definedName>
    <definedName name="SHARED_FORMULA_482">#N/A</definedName>
    <definedName name="SHARED_FORMULA_483">#N/A</definedName>
    <definedName name="SHARED_FORMULA_484">#N/A</definedName>
    <definedName name="SHARED_FORMULA_485">#N/A</definedName>
    <definedName name="SHARED_FORMULA_486">#N/A</definedName>
    <definedName name="SHARED_FORMULA_487">#N/A</definedName>
    <definedName name="SHARED_FORMULA_488">#N/A</definedName>
    <definedName name="SHARED_FORMULA_489">#N/A</definedName>
    <definedName name="SHARED_FORMULA_49">#N/A</definedName>
    <definedName name="SHARED_FORMULA_490">#N/A</definedName>
    <definedName name="SHARED_FORMULA_491">#N/A</definedName>
    <definedName name="SHARED_FORMULA_492">#N/A</definedName>
    <definedName name="SHARED_FORMULA_493">#N/A</definedName>
    <definedName name="SHARED_FORMULA_494">#N/A</definedName>
    <definedName name="SHARED_FORMULA_495">#N/A</definedName>
    <definedName name="SHARED_FORMULA_496">#N/A</definedName>
    <definedName name="SHARED_FORMULA_497">#N/A</definedName>
    <definedName name="SHARED_FORMULA_498">#N/A</definedName>
    <definedName name="SHARED_FORMULA_499">#N/A</definedName>
    <definedName name="SHARED_FORMULA_5">#N/A</definedName>
    <definedName name="SHARED_FORMULA_50">#N/A</definedName>
    <definedName name="SHARED_FORMULA_500">#N/A</definedName>
    <definedName name="SHARED_FORMULA_501">#N/A</definedName>
    <definedName name="SHARED_FORMULA_502">#N/A</definedName>
    <definedName name="SHARED_FORMULA_503">#N/A</definedName>
    <definedName name="SHARED_FORMULA_504">#N/A</definedName>
    <definedName name="SHARED_FORMULA_505">#N/A</definedName>
    <definedName name="SHARED_FORMULA_506">#N/A</definedName>
    <definedName name="SHARED_FORMULA_507">#N/A</definedName>
    <definedName name="SHARED_FORMULA_508">#N/A</definedName>
    <definedName name="SHARED_FORMULA_509">#N/A</definedName>
    <definedName name="SHARED_FORMULA_51">#N/A</definedName>
    <definedName name="SHARED_FORMULA_510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ila" hidden="1">{#N/A,#N/A,FALSE,"Assumptions";#N/A,#N/A,FALSE,"Volumes";#N/A,#N/A,FALSE,"Pricing";#N/A,#N/A,FALSE,"Variable Cost";#N/A,#N/A,FALSE,"Investment";#N/A,#N/A,FALSE,"Profitability";#N/A,#N/A,FALSE,"Business Comparison"}</definedName>
    <definedName name="shutt" hidden="1">#REF!</definedName>
    <definedName name="SICRO">#REF!</definedName>
    <definedName name="Signature">#REF!</definedName>
    <definedName name="SIH">#REF!</definedName>
    <definedName name="sihaa">#REF!</definedName>
    <definedName name="SimxNao">#REF!</definedName>
    <definedName name="SINALIZAÇÃO">#REF!</definedName>
    <definedName name="sinalização_e_elementos_de_segurança">#REF!</definedName>
    <definedName name="SISTEM1">#REF!</definedName>
    <definedName name="SISTEM2">#REF!</definedName>
    <definedName name="SISTEMAS">#REF!</definedName>
    <definedName name="Site" hidden="1">{"'8'!$B$1:$I$46"}</definedName>
    <definedName name="Site_1" hidden="1">{"'8'!$B$1:$I$46"}</definedName>
    <definedName name="Situacao">#REF!</definedName>
    <definedName name="SIV">#REF!</definedName>
    <definedName name="sivaa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M">#REF!</definedName>
    <definedName name="SN">#REF!</definedName>
    <definedName name="so">#REF!</definedName>
    <definedName name="SOLEIRA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phistic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CER" hidden="1">{"'장비'!$A$3:$M$12"}</definedName>
    <definedName name="Spaces">#REF!,#REF!,#REF!,#REF!,#REF!,#REF!,#REF!,#REF!,#REF!,#REF!,#REF!,#REF!,#REF!,#REF!,#REF!,#REF!,#REF!,#REF!,#REF!,#REF!,#REF!,#REF!,#REF!,#REF!,#REF!,#REF!,#REF!,#REF!,#REF!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" hidden="1">#REF!</definedName>
    <definedName name="SRT">#REF!</definedName>
    <definedName name="SS" hidden="1">{"'단계별시설공사비'!$A$3:$K$51"}</definedName>
    <definedName name="SS_1" hidden="1">{"'단계별시설공사비'!$A$3:$K$51"}</definedName>
    <definedName name="s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>#REF!</definedName>
    <definedName name="ssss">#REF!</definedName>
    <definedName name="sssss" hidden="1">{#N/A,#N/A,FALSE,"Bericht 2";#N/A,#N/A,FALSE,"Bericht 3";#N/A,#N/A,FALSE,"Bericht 1"}</definedName>
    <definedName name="SSSSSSS">#REF!</definedName>
    <definedName name="ssssssssss">#REF!</definedName>
    <definedName name="START">#REF!</definedName>
    <definedName name="STATUS">#REF!</definedName>
    <definedName name="Stop_Fire">#REF!</definedName>
    <definedName name="sts" hidden="1">{"'8'!$B$1:$I$46"}</definedName>
    <definedName name="SubComp">#REF!</definedName>
    <definedName name="SUBDER">#REF!</definedName>
    <definedName name="SUBDIV">#REF!</definedName>
    <definedName name="SUBEQP">#REF!</definedName>
    <definedName name="SUBMUR">#REF!</definedName>
    <definedName name="SUMIR3">#REF!</definedName>
    <definedName name="SUMMARY" hidden="1">{#N/A,#N/A,FALSE,"BOQCIC";#N/A,#N/A,FALSE,"3Ds"}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_MAR94">#REF!</definedName>
    <definedName name="SUPERESTR">#REF!</definedName>
    <definedName name="superv" hidden="1">{"'8'!$B$1:$I$46"}</definedName>
    <definedName name="superv_1" hidden="1">{"'8'!$B$1:$I$46"}</definedName>
    <definedName name="SUPRA.ESTRUTURA">#REF!</definedName>
    <definedName name="sv">#REF!</definedName>
    <definedName name="sw" hidden="1">{"offequipsch",#N/A,FALSE,"GTC_Schedule";"onconstsch",#N/A,FALSE,"GTC_Schedule";"techsch",#N/A,FALSE,"GTC_Schedule";"totsch",#N/A,FALSE,"GTC_Schedule"}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" hidden="1">{#N/A,#N/A,FALSE,"ET-CAPA";#N/A,#N/A,FALSE,"ET-PAG1";#N/A,#N/A,FALSE,"ET-PAG2";#N/A,#N/A,FALSE,"ET-PAG3";#N/A,#N/A,FALSE,"ET-PAG4";#N/A,#N/A,FALSE,"ET-PAG5"}</definedName>
    <definedName name="TA" hidden="1">{#N/A,#N/A,FALSE,"CCTV"}</definedName>
    <definedName name="tab" hidden="1">#REF!</definedName>
    <definedName name="tab_resumo">#REF!</definedName>
    <definedName name="TABACABAMENTOS">#REF!</definedName>
    <definedName name="tabder">#REF!</definedName>
    <definedName name="tabela">#REF!</definedName>
    <definedName name="TABELA_DADOS">#REF!</definedName>
    <definedName name="TABELA_DE_REVESTIMENTOS">#REF!</definedName>
    <definedName name="tabela0198">#REF!</definedName>
    <definedName name="Tabela1">#REF!</definedName>
    <definedName name="Tabelao">#REF!</definedName>
    <definedName name="TabelaoRevenda">#REF!</definedName>
    <definedName name="TABIQUERIA" hidden="1">{"'resumen'!$A$1:$D$42"}</definedName>
    <definedName name="TABREF">#REF!</definedName>
    <definedName name="TABSERBO">#REF!</definedName>
    <definedName name="TAG">#REF!</definedName>
    <definedName name="Tai" hidden="1">{#N/A,#N/A,FALSE,"Cover";#N/A,#N/A,FALSE,"Profits";#N/A,#N/A,FALSE,"ABS";#N/A,#N/A,FALSE,"TFLE Detail";#N/A,#N/A,FALSE,"TFLE Walk";#N/A,#N/A,FALSE,"Variable Cost";#N/A,#N/A,FALSE,"V.C. Walk"}</definedName>
    <definedName name="TATI" hidden="1">#REF!</definedName>
    <definedName name="TAUX2">OFFSET(#REF!,0,0,COUNTA(#REF!)+1,1)</definedName>
    <definedName name="TAUX3">OFFSET(#REF!,0,0,COUNTA(#REF!)+1,1)</definedName>
    <definedName name="Tax_Adm">#REF!</definedName>
    <definedName name="TAXA.1">#REF!</definedName>
    <definedName name="TAXA.2">#REF!</definedName>
    <definedName name="TAXA.A">#REF!</definedName>
    <definedName name="TAXA.B">#REF!</definedName>
    <definedName name="TAXA_ADM">#REF!</definedName>
    <definedName name="taxa_cap">#REF!</definedName>
    <definedName name="TAXA_MANUTENCAO">#REF!</definedName>
    <definedName name="TAXA_OUTROS">#REF!</definedName>
    <definedName name="TAXA_VENTO">#REF!</definedName>
    <definedName name="TAXAS">#REF!</definedName>
    <definedName name="TaxaTowerA">#REF!</definedName>
    <definedName name="TaxaTowerB">#REF!</definedName>
    <definedName name="TB">#REF!</definedName>
    <definedName name="TC" hidden="1">{#N/A,#N/A,FALSE,"GRAFICO";#N/A,#N/A,FALSE,"CAJA (2)";#N/A,#N/A,FALSE,"TERCEROS-PROMEDIO";#N/A,#N/A,FALSE,"CAJA";#N/A,#N/A,FALSE,"INGRESOS1995-2003";#N/A,#N/A,FALSE,"GASTOS1995-2003"}</definedName>
    <definedName name="TD">#REF!</definedName>
    <definedName name="TE.FRM">#REF!</definedName>
    <definedName name="tec">#REF!</definedName>
    <definedName name="TECH">#REF!</definedName>
    <definedName name="TENDÊNCIA_ANTERIOR">#REF!</definedName>
    <definedName name="TER_MAR94">#REF!</definedName>
    <definedName name="Térmico_Acústico">#REF!</definedName>
    <definedName name="TERR">#REF!</definedName>
    <definedName name="Terr_preços">#REF!</definedName>
    <definedName name="terra">#REF!</definedName>
    <definedName name="terraplenagem">#REF!</definedName>
    <definedName name="terreno">#REF!</definedName>
    <definedName name="test">#REF!</definedName>
    <definedName name="TESTANDO" hidden="1">{#N/A,#N/A,TRUE,"Quinzena 01 à 15-04-98 "}</definedName>
    <definedName name="TESTE" hidden="1">{#N/A,#N/A,TRUE,"Quinzena 01 à 15-04-98 "}</definedName>
    <definedName name="teste1">#REF!</definedName>
    <definedName name="TESTE2" hidden="1">#REF!</definedName>
    <definedName name="teste3">#REF!</definedName>
    <definedName name="TESTE4" hidden="1">#REF!</definedName>
    <definedName name="TESTE5">#REF!</definedName>
    <definedName name="testeFuvi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s">#REF!</definedName>
    <definedName name="TESTHKEY">#REF!</definedName>
    <definedName name="TETO">#REF!</definedName>
    <definedName name="teto1">#REF!</definedName>
    <definedName name="Teto2">#REF!</definedName>
    <definedName name="tetuytw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A">#REF!</definedName>
    <definedName name="The_Gift">#REF!</definedName>
    <definedName name="TIJ">#REF!</definedName>
    <definedName name="TIPO">OFFSET(#REF!,0,0,COUNTA(#REF!),1)</definedName>
    <definedName name="Tipo_do_cliente">#REF!</definedName>
    <definedName name="TipoAlcoolico">#REF!</definedName>
    <definedName name="tipobloco">#REF!</definedName>
    <definedName name="TipoIR">#REF!</definedName>
    <definedName name="TIPOLOGIA">#REF!</definedName>
    <definedName name="TipoOrigem">#REF!</definedName>
    <definedName name="TipoProblema">#REF!</definedName>
    <definedName name="tipos">#REF!</definedName>
    <definedName name="tir">#REF!</definedName>
    <definedName name="TIRANTES">#REF!</definedName>
    <definedName name="titbeb">#REF!</definedName>
    <definedName name="TITCHAF">#REF!</definedName>
    <definedName name="_xlnm.Print_Titles">#REF!</definedName>
    <definedName name="Títulos_impressão_IM">#REF!</definedName>
    <definedName name="TM111S29S00E2C12C09EPM" hidden="1">#REF!</definedName>
    <definedName name="TMO">#REF!</definedName>
    <definedName name="TN1PShen" hidden="1">#REF!</definedName>
    <definedName name="tocColumn1">#REF!</definedName>
    <definedName name="tocColumn2">#REF!</definedName>
    <definedName name="Todos">#REF!</definedName>
    <definedName name="TOLTAL2">#REF!</definedName>
    <definedName name="torrea">#REF!</definedName>
    <definedName name="torreb">#REF!</definedName>
    <definedName name="torrec">#REF!</definedName>
    <definedName name="torred">#REF!</definedName>
    <definedName name="torree">#REF!</definedName>
    <definedName name="TORRES">#REF!</definedName>
    <definedName name="tot3estac">#REF!</definedName>
    <definedName name="TOTAIS">#REF!</definedName>
    <definedName name="TOTAISA">#REF!</definedName>
    <definedName name="TOTAISAH">#REF!</definedName>
    <definedName name="TOTAISH">#REF!</definedName>
    <definedName name="Total">#REF!</definedName>
    <definedName name="TOTAL_ITENS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BUDGET">#REF!</definedName>
    <definedName name="TOTALGP">#REF!</definedName>
    <definedName name="TOTALITEM">#REF!</definedName>
    <definedName name="TotalMaterial">#REF!</definedName>
    <definedName name="TotalMdO">#REF!</definedName>
    <definedName name="TOTALMISCEL">#REF!</definedName>
    <definedName name="TotalNumbers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PC">#REF!</definedName>
    <definedName name="tr" hidden="1">{"offequipsch",#N/A,FALSE,"GTC_Schedule";"onconstsch",#N/A,FALSE,"GTC_Schedule";"techsch",#N/A,FALSE,"GTC_Schedule";"totsch",#N/A,FALSE,"GTC_Schedule"}</definedName>
    <definedName name="TRAFO">#REF!</definedName>
    <definedName name="Transferencia1">#REF!</definedName>
    <definedName name="TRANSP">#REF!</definedName>
    <definedName name="trecho">#REF!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Z">#REF!</definedName>
    <definedName name="TREZE">#REF!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P">#REF!</definedName>
    <definedName name="trpaa">#REF!</definedName>
    <definedName name="tru" hidden="1">#REF!</definedName>
    <definedName name="truy" hidden="1">#REF!</definedName>
    <definedName name="TT">#REF!</definedName>
    <definedName name="ttt">#REF!</definedName>
    <definedName name="TTTTTTT" hidden="1">#REF!</definedName>
    <definedName name="tuberías2" hidden="1">#N/A</definedName>
    <definedName name="Tubulão">#REF!</definedName>
    <definedName name="TUDO">#REF!</definedName>
    <definedName name="TUDO2">#REF!</definedName>
    <definedName name="Tunnel_Liner">#REF!</definedName>
    <definedName name="TURNO">#REF!</definedName>
    <definedName name="TV" hidden="1">{#N/A,#N/A,FALSE,"CCTV"}</definedName>
    <definedName name="TX_ACO_FNDRASA">#REF!</definedName>
    <definedName name="TX_ACO_POSTIPO">#REF!</definedName>
    <definedName name="TX_ACO_PRETIPO">#REF!</definedName>
    <definedName name="TX_ACO_TIPO">#REF!</definedName>
    <definedName name="TX_ANCORAGEM_DEF">#REF!</definedName>
    <definedName name="TX_BANDEJA_SECUNDARIA">#REF!</definedName>
    <definedName name="TX_EMPOLAMENTO">#REF!</definedName>
    <definedName name="TX_ENTULHO">#REF!</definedName>
    <definedName name="TX_ESCORAMENTO_POSTIPO">#REF!</definedName>
    <definedName name="TX_ESCORAMENTO_PRETIPO">#REF!</definedName>
    <definedName name="TX_ESCORAMENTO_TIPO">#REF!</definedName>
    <definedName name="Tx_Juros1">#REF!</definedName>
    <definedName name="Tx_Juros2">#REF!</definedName>
    <definedName name="TX_REESCORAMENTO_GERAL">#REF!</definedName>
    <definedName name="TX_REFORMA_POSTIPO">#REF!</definedName>
    <definedName name="TX_REFORMA_PRETIPO">#REF!</definedName>
    <definedName name="TX_REFORMA_TIPO">#REF!</definedName>
    <definedName name="TxEmp">#REF!</definedName>
    <definedName name="txeq">#REF!</definedName>
    <definedName name="TXNOV">#REF!</definedName>
    <definedName name="TXTEQUIP">#REF!</definedName>
    <definedName name="TXTMARCA">#REF!</definedName>
    <definedName name="TXTMOD">#REF!</definedName>
    <definedName name="TXTPOT">#REF!</definedName>
    <definedName name="ty" hidden="1">{"'장비'!$A$3:$M$12"}</definedName>
    <definedName name="tyt" hidden="1">{"'장비'!$A$3:$M$12"}</definedName>
    <definedName name="tyuu" hidden="1">#REF!</definedName>
    <definedName name="tyyuy" hidden="1">{"'장비'!$A$3:$M$12"}</definedName>
    <definedName name="u">#REF!</definedName>
    <definedName name="UB" hidden="1">{#N/A,#N/A,FALSE,"CCTV"}</definedName>
    <definedName name="Über" hidden="1">{#N/A,#N/A,FALSE,"Tabelle1"}</definedName>
    <definedName name="uf">#REF!</definedName>
    <definedName name="ufg">#REF!</definedName>
    <definedName name="ui" hidden="1">{"'장비'!$A$3:$M$12"}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m" hidden="1">0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dade">#REF!</definedName>
    <definedName name="UNIDADES">#REF!</definedName>
    <definedName name="UnidadeSACRevenda">#REF!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ário_Material">#REF!</definedName>
    <definedName name="Unitário_MdO">#REF!</definedName>
    <definedName name="Up_En">#REF!,#REF!</definedName>
    <definedName name="Up_Sp">#REF!,#REF!</definedName>
    <definedName name="Update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V_MAR94">#REF!</definedName>
    <definedName name="USDOLAR">#REF!</definedName>
    <definedName name="USS">#REF!</definedName>
    <definedName name="Utensílio">#REF!</definedName>
    <definedName name="Utensílios">#REF!</definedName>
    <definedName name="Utensílios1">#REF!</definedName>
    <definedName name="UUU" hidden="1">{#N/A,#N/A,FALSE,"CCTV"}</definedName>
    <definedName name="uuuu" hidden="1">{#N/A,#N/A,FALSE,"BOQCIC";#N/A,#N/A,FALSE,"3Ds";#N/A,#N/A,FALSE,"COST DETAIL"}</definedName>
    <definedName name="uuuuuu" hidden="1">{"'장비'!$A$3:$M$12"}</definedName>
    <definedName name="uy" hidden="1">{"'장비'!$A$3:$M$12"}</definedName>
    <definedName name="V">#REF!</definedName>
    <definedName name="VA">#REF!</definedName>
    <definedName name="VAGAS">#REF!</definedName>
    <definedName name="VALIDADE_EXECUÇÃO">#REF!</definedName>
    <definedName name="valIII" hidden="1">{#N/A,#N/A,FALSE,"Assumptions";#N/A,#N/A,FALSE,"Volumes";#N/A,#N/A,FALSE,"Pricing";#N/A,#N/A,FALSE,"Variable Cost";#N/A,#N/A,FALSE,"Investment";#N/A,#N/A,FALSE,"Profitability";#N/A,#N/A,FALSE,"Business Comparison"}</definedName>
    <definedName name="VALOR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MEDIO">#REF!</definedName>
    <definedName name="VALOR_MEDIO2">#REF!</definedName>
    <definedName name="Valor_Moeda_Real">#REF!</definedName>
    <definedName name="VALOR_REAIS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ALOR_VENDA">#REF!</definedName>
    <definedName name="VALOR2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riacao">#REF!</definedName>
    <definedName name="variação">#REF!</definedName>
    <definedName name="VAX_ANT">#REF!</definedName>
    <definedName name="VBG">#REF!</definedName>
    <definedName name="Veiculos">#REF!</definedName>
    <definedName name="ven">#REF!</definedName>
    <definedName name="Venda">#REF!</definedName>
    <definedName name="VENDA_ADOTADA">#REF!</definedName>
    <definedName name="VENDAFINAL_R">#REF!</definedName>
    <definedName name="VENDAFINAL_U">#REF!</definedName>
    <definedName name="vendas">#REF!</definedName>
    <definedName name="Vendidos">#REF!</definedName>
    <definedName name="VendidosDatas">#REF!</definedName>
    <definedName name="VERIFICAR" hidden="1">{#N/A,#N/A,TRUE,"Quinzena 01 à 15-04-98 "}</definedName>
    <definedName name="vffsfs" hidden="1">{#N/A,#N/A,TRUE,"Basic";#N/A,#N/A,TRUE,"EXT-TABLE";#N/A,#N/A,TRUE,"STEEL";#N/A,#N/A,TRUE,"INT-Table";#N/A,#N/A,TRUE,"STEEL";#N/A,#N/A,TRUE,"Door"}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DROS">#N/A</definedName>
    <definedName name="VIGAS">#REF!</definedName>
    <definedName name="VINT">#REF!</definedName>
    <definedName name="VINTD">#REF!</definedName>
    <definedName name="VINTE">#REF!</definedName>
    <definedName name="VINTU">#REF!</definedName>
    <definedName name="Vivre">#REF!</definedName>
    <definedName name="vlr_mensal">#REF!</definedName>
    <definedName name="VNIM">#REF!</definedName>
    <definedName name="VOL.">#REF!</definedName>
    <definedName name="VOL._TOT.">#REF!</definedName>
    <definedName name="VolMeta">#REF!</definedName>
    <definedName name="VolReal">#REF!</definedName>
    <definedName name="VOLTAR_PLANILHA">#REF!</definedName>
    <definedName name="VOLUME1">#REF!</definedName>
    <definedName name="VOLUME2">#REF!</definedName>
    <definedName name="VOLUME3">#REF!</definedName>
    <definedName name="Volumetria2" hidden="1">{"'teste5'!$A$1:$E$109","'teste5'!$B$111"}</definedName>
    <definedName name="VPL">#REF!</definedName>
    <definedName name="vr">#REF!</definedName>
    <definedName name="VRL">#REF!</definedName>
    <definedName name="VRL0">#REF!</definedName>
    <definedName name="vrufg">#REF!</definedName>
    <definedName name="vt">#REF!</definedName>
    <definedName name="vv" hidden="1">{"'장비'!$A$3:$M$12"}</definedName>
    <definedName name="VV_Butantã">#REF!</definedName>
    <definedName name="VV_Freguesia_do_Ó">#REF!</definedName>
    <definedName name="VV_São_Bernardo">#REF!</definedName>
    <definedName name="VV_St._Cruz">#REF!</definedName>
    <definedName name="VV_Vila_Maria">#REF!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">#REF!</definedName>
    <definedName name="vvvvv" hidden="1">{#N/A,#N/A,FALSE,"Plan1";#N/A,#N/A,FALSE,"Plan2"}</definedName>
    <definedName name="vvvvvv" hidden="1">{#N/A,#N/A,FALSE,"Plan1";#N/A,#N/A,FALSE,"Plan2"}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>#REF!</definedName>
    <definedName name="w3eswsw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BS_Etapa">#REF!</definedName>
    <definedName name="wdegfasdgasdgasdg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">#REF!</definedName>
    <definedName name="wefw">#REF!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#REF!</definedName>
    <definedName name="WETERW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itt" hidden="1">{#N/A,#N/A,FALSE,"Tabelle1"}</definedName>
    <definedName name="wiw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izAddress">#REF!</definedName>
    <definedName name="wizAuthor">#REF!</definedName>
    <definedName name="wizClient">#REF!</definedName>
    <definedName name="wizCompany">#REF!</definedName>
    <definedName name="wizCreationDate">#REF!</definedName>
    <definedName name="wizEmail">#REF!</definedName>
    <definedName name="wizHeader1">#REF!</definedName>
    <definedName name="wizHeader2">#REF!</definedName>
    <definedName name="wizPosition">#REF!</definedName>
    <definedName name="wizProject">#REF!</definedName>
    <definedName name="wizTelephone">#REF!</definedName>
    <definedName name="wizTitle">#REF!</definedName>
    <definedName name="wizWeb">#REF!</definedName>
    <definedName name="wjs" hidden="1">{#N/A,#N/A,FALSE,"CCTV"}</definedName>
    <definedName name="WLQ" hidden="1">{#N/A,#N/A,FALSE,"명세표"}</definedName>
    <definedName name="WM" hidden="1">{#N/A,#N/A,FALSE,"CCTV"}</definedName>
    <definedName name="wm.조골재1" hidden="1">{#N/A,#N/A,FALSE,"조골재"}</definedName>
    <definedName name="WNMLOCAL">#REF!</definedName>
    <definedName name="WNMMUN">#REF!</definedName>
    <definedName name="WNMSERV">#REF!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rf" hidden="1">{#N/A,#N/A,FALSE,"BOQCIC";#N/A,#N/A,FALSE,"3Ds";#N/A,#N/A,FALSE,"COST DETAIL"}</definedName>
    <definedName name="WR" hidden="1">{#N/A,#N/A,FALSE,"CCTV"}</definedName>
    <definedName name="WRITE" hidden="1">{#N/A,#N/A,FALSE,"CCTV"}</definedName>
    <definedName name="WRM" hidden="1">{#N/A,#N/A,FALSE,"CCTV"}</definedName>
    <definedName name="WRN" hidden="1">{#N/A,#N/A,FALSE,"CCTV"}</definedName>
    <definedName name="wrn.02INFORME." hidden="1">{"NORMAL",#N/A,FALSE,"02"}</definedName>
    <definedName name="wrn.2019pag1." hidden="1">{"2019pag1",#N/A,FALSE,"2019"}</definedName>
    <definedName name="wrn.2019pag202." hidden="1">{"2019pag202",#N/A,FALSE,"2019"}</definedName>
    <definedName name="wrn.2020pag1." hidden="1">{"2020pag1",#N/A,FALSE,"2020"}</definedName>
    <definedName name="wrn.2020pag202." hidden="1">{"2020pag202",#N/A,FALSE,"2020"}</definedName>
    <definedName name="wrn.2번." hidden="1">{#N/A,#N/A,FALSE,"2~8번"}</definedName>
    <definedName name="wrn.90gral." hidden="1">{"90%GRAL",#N/A,FALSE,"90%contrato"}</definedName>
    <definedName name="wrn.90gralnoimportes." hidden="1">{"90gralnoimportes",#N/A,FALSE,"90%contrato"}</definedName>
    <definedName name="wrn.90repart." hidden="1">{"90repart",#N/A,FALSE,"90%contrato"}</definedName>
    <definedName name="wrn.A." hidden="1">{#N/A,#N/A,FALSE,"Ejector 1";#N/A,#N/A,FALSE,"Ejector 2"}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usgabe._.DKW.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GuD.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wrn.Ausgabe._.KW.2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BM." hidden="1">{#N/A,#N/A,FALSE,"CCTV"}</definedName>
    <definedName name="wrn.BOQCIC." hidden="1">{#N/A,#N/A,FALSE,"BOQCIC";#N/A,#N/A,FALSE,"3Ds";#N/A,#N/A,FALSE,"COST DETAIL"}</definedName>
    <definedName name="wrn.Brita98.xls." hidden="1">{#N/A,#N/A,TRUE,"Quinzena 01 à 15-04-98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LOVES." hidden="1">{#N/A,#N/A,FALSE,"Plan1";#N/A,#N/A,FALSE,"Despesas Diversas por C.Custo"}</definedName>
    <definedName name="wrn.COSTES." hidden="1">{"COSTES",#N/A,FALSE,"costes"}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ronograma." hidden="1">{#N/A,#N/A,FALSE,"Cronograma";#N/A,#N/A,FALSE,"Cronogr. 2"}</definedName>
    <definedName name="wrn.DECIMAL." hidden="1">{"DECIMAL",#N/A,FALSE,"02"}</definedName>
    <definedName name="wrn.DIRETRIZ." hidden="1">{#N/A,#N/A,FALSE,"ROTINA";#N/A,#N/A,FALSE,"ITENS";#N/A,#N/A,FALSE,"ACOMP"}</definedName>
    <definedName name="wrn.eee." hidden="1">{#N/A,#N/A,FALSE,"Item List"}</definedName>
    <definedName name="wrn.equipeur1." hidden="1">{"equipeur1",#N/A,FALSE,"Equipeur"}</definedName>
    <definedName name="wrn.equipeur2." hidden="1">{"equipeur2",#N/A,FALSE,"Equipeur"}</definedName>
    <definedName name="wrn.Equipment._.List." hidden="1">{#N/A,#N/A,TRUE,"COVERSHEET";#N/A,#N/A,TRUE,"LEGEND";#N/A,#N/A,TRUE,"LIST"}</definedName>
    <definedName name="wrn.equipospag1." hidden="1">{"equipospag1",#N/A,FALSE,"Equipos"}</definedName>
    <definedName name="wrn.equipospag202." hidden="1">{"equipospag202",#N/A,FALSE,"Equipos"}</definedName>
    <definedName name="wrn.especialid02." hidden="1">{"especialid02",#N/A,FALSE,"especia"}</definedName>
    <definedName name="wrn.facteurañomes." hidden="1">{"facteurañomes",#N/A,FALSE,"facturaseur"}</definedName>
    <definedName name="wrn.facteurlista." hidden="1">{"facteurlista",#N/A,FALSE,"facturaseur"}</definedName>
    <definedName name="wrn.factptsañomes." hidden="1">{"factptsañomes",#N/A,FALSE,"facturaspts"}</definedName>
    <definedName name="wrn.factptslista." hidden="1">{"factptslista",#N/A,FALSE,"facturaspts"}</definedName>
    <definedName name="wrn.gastos." hidden="1">{#N/A,#N/A,FALSE,"PERSONAL";#N/A,#N/A,FALSE,"explotación";#N/A,#N/A,FALSE,"generales"}</definedName>
    <definedName name="wrn.GERAL." hidden="1">{#N/A,#N/A,FALSE,"ET-CAPA";#N/A,#N/A,FALSE,"ET-PAG1";#N/A,#N/A,FALSE,"ET-PAG2";#N/A,#N/A,FALSE,"ET-PAG3";#N/A,#N/A,FALSE,"ET-PAG4";#N/A,#N/A,FALSE,"ET-PAG5"}</definedName>
    <definedName name="wrn.GERAL2" hidden="1">{#N/A,#N/A,FALSE,"ET-CAPA";#N/A,#N/A,FALSE,"ET-PAG1";#N/A,#N/A,FALSE,"ET-PAG2";#N/A,#N/A,FALSE,"ET-PAG3";#N/A,#N/A,FALSE,"ET-PAG4";#N/A,#N/A,FALSE,"ET-PAG5"}</definedName>
    <definedName name="wrn.grafiespecial." hidden="1">{"grafiespecial",#N/A,FALSE,"cuadros"}</definedName>
    <definedName name="wrn.grafifactprev." hidden="1">{"grafifactprev",#N/A,FALSE,"graficos"}</definedName>
    <definedName name="wrn.grafirestoingsede." hidden="1">{"grafirestoingsede",#N/A,FALSE,"cuadros"}</definedName>
    <definedName name="wrn.grafiresumen." hidden="1">{"grafiresumen",#N/A,FALSE,"cuadros"}</definedName>
    <definedName name="wrn.grafisupervi." hidden="1">{"grafisupervi",#N/A,FALSE,"cuadros"}</definedName>
    <definedName name="wrn.grafitodos." hidden="1">{"grafitodos",#N/A,FALSE,"cuadros"}</definedName>
    <definedName name="wrn.HC_010_4." hidden="1">{"A",#N/A,FALSE,"PORTADA";"A",#N/A,FALSE,"CONDIC. DE DISEÑO";"A",#N/A,FALSE,"VAPOR SATURADO";"A",#N/A,FALSE,"FEEDWATER &amp; BLOW-OF";"A",#N/A,FALSE,"SUPERHEATED"}</definedName>
    <definedName name="wrn.hitosfacturagral." hidden="1">{"hitosfacturagral",#N/A,FALSE,"hitosfactura"}</definedName>
    <definedName name="wrn.hitosfacturanoimportes." hidden="1">{"hitosfacturanoimporte",#N/A,FALSE,"hitosfactura"}</definedName>
    <definedName name="wrn.hitosfacturaproyectos." hidden="1">{"hitosfacturaproyectos",#N/A,FALSE,"hitosfactura"}</definedName>
    <definedName name="wrn.horaspag1." hidden="1">{"horaspag1",#N/A,FALSE,"horas"}</definedName>
    <definedName name="wrn.horaspag202." hidden="1">{"horaspag202",#N/A,FALSE,"horas"}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inforconteur1." hidden="1">{"inforconteur1",#N/A,FALSE,"CONTEUR"}</definedName>
    <definedName name="wrn.inforconteur2." hidden="1">{"inforconteur2",#N/A,FALSE,"CONTEUR"}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ofereur1." hidden="1">{"ofereur1",#N/A,FALSE,"OFEREUR"}</definedName>
    <definedName name="wrn.ofereur2." hidden="1">{"ofereur2",#N/A,FALSE,"OFEREUR"}</definedName>
    <definedName name="wrn.oferpts1." hidden="1">{"oferpts1",#N/A,FALSE,"OFERPTS"}</definedName>
    <definedName name="wrn.oferpts2." hidden="1">{#N/A,#N/A,FALSE,"OFERPTS"}</definedName>
    <definedName name="wrn.OFERTA." hidden="1">{"OFERTA",#N/A,FALSE,"costes"}</definedName>
    <definedName name="wrn.Orçamento." hidden="1">{#N/A,#N/A,FALSE,"Planilha";#N/A,#N/A,FALSE,"Resumo";#N/A,#N/A,FALSE,"Fisico";#N/A,#N/A,FALSE,"Financeiro";#N/A,#N/A,FALSE,"Financeiro"}</definedName>
    <definedName name="wrn.parq." hidden="1">{#N/A,#N/A,FALSE,"B1-A";#N/A,#N/A,FALSE,"B1-B";#N/A,#N/A,FALSE,"B1-Af";#N/A,#N/A,FALSE,"B-0";#N/A,#N/A,FALSE,"B3-A";#N/A,#N/A,FALSE,"B3-B"}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revicompleto." hidden="1">{"previcompleto",#N/A,FALSE,"previs"}</definedName>
    <definedName name="wrn.previdirector." hidden="1">{"previdirector",#N/A,FALSE,"previs"}</definedName>
    <definedName name="wrn.previdisciplinas." hidden="1">{"previdisciplinas",#N/A,FALSE,"previs"}</definedName>
    <definedName name="wrn.prevsistema02." hidden="1">{"prevsistema02",#N/A,FALSE,"prevsistema"}</definedName>
    <definedName name="wrn.Print._.IS." hidden="1">{#N/A,#N/A,FALSE,"Sheet1";#N/A,#N/A,FALSE,"Variance";#N/A,#N/A,FALSE,"Conversion";#N/A,#N/A,FALSE,"Income Statement-Pto"}</definedName>
    <definedName name="wrn.Print._.Output." hidden="1">{#N/A,#N/A,FALSE,"OUTPUT SHEET 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Profit._.Analysis." hidden="1">{#N/A,#N/A,FALSE,"Profit Status";#N/A,#N/A,FALSE,"Invest";#N/A,#N/A,FALSE,"Revenue";#N/A,#N/A,FALSE,"Variable Cost";#N/A,#N/A,FALSE,"Options &amp; Series"}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ptp.">#REF!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1" hidden="1">{"características",#N/A,TRUE,"Imprime1";"ciclos",#N/A,TRUE,"Imprime1"}</definedName>
    <definedName name="wrn.relat1." hidden="1">{"características",#N/A,TRUE,"Imprime1";"ciclos",#N/A,TRUE,"Imprime1"}</definedName>
    <definedName name="wrn.relat2." hidden="1">{"Características",#N/A,TRUE,"Imprime1";"Custos",#N/A,TRUE,"Imprime1"}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_.1." hidden="1">{#N/A,#N/A,FALSE,"Work progress mensile";#N/A,#N/A,FALSE,"Work progress mensile IE1"}</definedName>
    <definedName name="wrn.resum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EN.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SENCILLO." hidden="1">{"PYGS",#N/A,FALSE,"PYG";"ACTIS",#N/A,FALSE,"BCE_GRAL-ACTIVO";"PASIS",#N/A,FALSE,"BCE_GRAL-PASIVO-PATRIM";"CAJAS",#N/A,FALSE,"CAJA"}</definedName>
    <definedName name="wrn.Standard." hidden="1">{#N/A,#N/A,TRUE,"Summary";#N/A,#N/A,TRUE,"Worksheet"}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test." hidden="1">{#N/A,#N/A,FALSE,"Bericht 2";#N/A,#N/A,FALSE,"Bericht 3";#N/A,#N/A,FALSE,"Bericht 1"}</definedName>
    <definedName name="wrn.test1." hidden="1">{#N/A,#N/A,FALSE,"명세표"}</definedName>
    <definedName name="wrn.testbericht." hidden="1">{#N/A,#N/A,FALSE,"Tabelle1"}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tal." hidden="1">{"Parcial",#N/A,FALSE,"GastFuncionamiento";"Parcial2",#N/A,FALSE,"GastFuncionamiento";"Total",#N/A,FALSE,"GastFuncionamiento"}</definedName>
    <definedName name="wrn.totaleseuros." hidden="1">{"totaleseuros",#N/A,FALSE,"GTOSEUROS"}</definedName>
    <definedName name="wrn.totalespts." hidden="1">{"totalespts",#N/A,FALSE,"GTOSPTS"}</definedName>
    <definedName name="wrn.totalpag1." hidden="1">{"totalpag1",#N/A,FALSE,"TOTAL"}</definedName>
    <definedName name="wrn.totalpag202." hidden="1">{"totalpag202",#N/A,FALSE,"TOTAL"}</definedName>
    <definedName name="wrn.totsch." hidden="1">{"offequipsch",#N/A,FALSE,"GTC_Schedule";"onconstsch",#N/A,FALSE,"GTC_Schedule";"techsch",#N/A,FALSE,"GTC_Schedule";"totsch",#N/A,FALSE,"GTC_Schedule"}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X_Print._.All." hidden="1">{#N/A,#N/A,TRUE,"Summary";#N/A,#N/A,TRUE,"Worksheet";#N/A,#N/A,TRUE,"CashFlow"}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hidden="1">{"SJ - 기본 보기",#N/A,FALSE,"공사별 외주견적"}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密封油量測定." hidden="1">{#N/A,#N/A,FALSE,"密封油量測定"}</definedName>
    <definedName name="wrn.帳票ALL." hidden="1">{"AO9_BK42",#N/A,FALSE,"見積原紙";"N9_AJ42",#N/A,FALSE,"見積原紙";"N45_AJ78",#N/A,FALSE,"見積原紙";"N81_AJ114",#N/A,FALSE,"見積原紙";"N117_AJ150",#N/A,FALSE,"見積原紙";"N153_AJ186",#N/A,FALSE,"見積原紙"}</definedName>
    <definedName name="wrn.帳票P1_P3." hidden="1">{"AO9_BK42",#N/A,FALSE,"見積原紙";"N9_AJ42",#N/A,FALSE,"見積原紙";"N45_AJ78",#N/A,FALSE,"見積原紙"}</definedName>
    <definedName name="WRS" hidden="1">{"'장비'!$A$3:$M$12"}</definedName>
    <definedName name="wtwertewrt4t" hidden="1">#REF!</definedName>
    <definedName name="wvu.Características.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iclos.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ustos.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Recursos.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vu.Recursos.1.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ww">#REF!</definedName>
    <definedName name="WWW" hidden="1">{#N/A,#N/A,FALSE,"CCTV"}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w" hidden="1">#REF!</definedName>
    <definedName name="wwwww">#REF!</definedName>
    <definedName name="x">#REF!</definedName>
    <definedName name="XALFA">#REF!</definedName>
    <definedName name="XC" hidden="1">{#N/A,#N/A,FALSE,"CCTV"}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CV">#REF!</definedName>
    <definedName name="XCVI">#REF!</definedName>
    <definedName name="XCVII">#REF!</definedName>
    <definedName name="XCVIII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ATA">#REF!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nInforme_quantos_bebedouros____bebqt__if_bebqt__0__xlQt.bebedouros_invalida___ENTER_p_reinformar__xresp__branch_rqtderv">#REF!</definedName>
    <definedName name="XNUCOPIAS">#REF!</definedName>
    <definedName name="XRESP">#REF!</definedName>
    <definedName name="XTITRES">#REF!</definedName>
    <definedName name="XV">#REF!</definedName>
    <definedName name="xx" hidden="1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xxxxxxx" hidden="1">{#N/A,#N/A,FALSE,"Profit Status";#N/A,#N/A,FALSE,"Invest";#N/A,#N/A,FALSE,"Revenue";#N/A,#N/A,FALSE,"Variable Cost";#N/A,#N/A,FALSE,"Options &amp; Series"}</definedName>
    <definedName name="XY">#REF!</definedName>
    <definedName name="xyz" hidden="1">{#N/A,#N/A,FALSE,"Bericht 2";#N/A,#N/A,FALSE,"Bericht 3";#N/A,#N/A,FALSE,"Bericht 1"}</definedName>
    <definedName name="xyz2" hidden="1">{#N/A,#N/A,FALSE,"Bericht 2";#N/A,#N/A,FALSE,"Bericht 3";#N/A,#N/A,FALSE,"Bericht 1"}</definedName>
    <definedName name="y" hidden="1">{#N/A,#N/A,FALSE,"Bericht 2";#N/A,#N/A,FALSE,"Bericht 3";#N/A,#N/A,FALSE,"Bericht 1"}</definedName>
    <definedName name="YAJU" hidden="1">{"DECIMAL",#N/A,FALSE,"02"}</definedName>
    <definedName name="yfdsf" hidden="1">{#N/A,#N/A,FALSE,"Bericht 2";#N/A,#N/A,FALSE,"Bericht 3";#N/A,#N/A,FALSE,"Bericht 1"}</definedName>
    <definedName name="ygyg" hidden="1">{"DECIMAL",#N/A,FALSE,"02"}</definedName>
    <definedName name="ygygy" hidden="1">{"'단계별시설공사비'!$A$3:$K$51"}</definedName>
    <definedName name="ynkim" hidden="1">{#N/A,#N/A,TRUE,"Basic";#N/A,#N/A,TRUE,"EXT-TABLE";#N/A,#N/A,TRUE,"STEEL";#N/A,#N/A,TRUE,"INT-Table";#N/A,#N/A,TRUE,"STEEL";#N/A,#N/A,TRUE,"Door"}</definedName>
    <definedName name="YO" hidden="1">{#N/A,#N/A,FALSE,"GRAFICO";#N/A,#N/A,FALSE,"CAJA (2)";#N/A,#N/A,FALSE,"TERCEROS-PROMEDIO";#N/A,#N/A,FALSE,"CAJA";#N/A,#N/A,FALSE,"INGRESOS1995-2003";#N/A,#N/A,FALSE,"GASTOS1995-2003"}</definedName>
    <definedName name="yrdtytyt" hidden="1">{#N/A,#N/A,FALSE,"CCTV"}</definedName>
    <definedName name="ytdju">#REF!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" hidden="1">{"'장비'!$A$3:$M$12"}</definedName>
    <definedName name="yuyuyu" hidden="1">{"'장비'!$A$3:$M$12"}</definedName>
    <definedName name="YYY">#REF!</definedName>
    <definedName name="YYYY">#REF!</definedName>
    <definedName name="yyyyy" hidden="1">{"'장비'!$A$3:$M$12"}</definedName>
    <definedName name="z" hidden="1">{"'Estimativa de Lançamento-JAN'!$A$1:$AI$85"}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873457C_3C6C_437F_8834_04FA943CAA65__wvu_PrintTitles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0818C95_8CE7_452F_A1FC_D931F06FF641_.wvu.PrintArea" hidden="1">#REF!</definedName>
    <definedName name="Z_A0818C95_8CE7_452F_A1FC_D931F06FF641_.wvu.Rows" hidden="1">#REF!,#REF!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A89B2_7F46_4DA2_AF65_5139B6F2B3D7__wvu_PrintTitles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DB4B167_E3AA_11D7_8D7A_00B0D08F20DC_.wvu.PrintAre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1D5B213_FDCC_4496_B0EB_8B1D18EFEC1D__wvu_PrintArea">#REF!</definedName>
    <definedName name="Z_D1D5B213_FDCC_4496_B0EB_8B1D18EFEC1D__wvu_PrintTitles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EROS">#REF!</definedName>
    <definedName name="ZXC" hidden="1">{#N/A,#N/A,FALSE,"CCTV"}</definedName>
    <definedName name="ZXCV" hidden="1">{#N/A,#N/A,FALSE,"CCTV"}</definedName>
    <definedName name="ZXZZ">#REF!</definedName>
    <definedName name="zz" hidden="1">{"'장비'!$A$3:$M$12"}</definedName>
    <definedName name="ZZZ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z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ㄱ미" hidden="1">{#N/A,#N/A,TRUE,"Basic";#N/A,#N/A,TRUE,"EXT-TABLE";#N/A,#N/A,TRUE,"STEEL";#N/A,#N/A,TRUE,"INT-Table";#N/A,#N/A,TRUE,"STEEL";#N/A,#N/A,TRUE,"Door"}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2" hidden="1">{#N/A,#N/A,FALSE,"CCTV"}</definedName>
    <definedName name="견적SHEET" hidden="1">{#N/A,#N/A,FALSE,"CCTV"}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품의서" hidden="1">{"'장비'!$A$3:$M$12"}</definedName>
    <definedName name="계획총괄" hidden="1">{#N/A,#N/A,FALSE,"96자동차사 계획";#N/A,#N/A,FALSE,"96자동차사 계획"}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3" hidden="1">{#N/A,#N/A,FALSE,"구조2"}</definedName>
    <definedName name="구조물공" hidden="1">{#N/A,#N/A,FALSE,"이정표"}</definedName>
    <definedName name="구조물공1" hidden="1">{#N/A,#N/A,FALSE,"이정표"}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구조직표" hidden="1">{"'장비'!$A$3:$M$12"}</definedName>
    <definedName name="기능합리화" hidden="1">{#N/A,#N/A,FALSE,"96자동차사 계획";#N/A,#N/A,FALSE,"96자동차사 계획"}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ㄳ" hidden="1">{#N/A,#N/A,FALSE,"단가표지"}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ㄻㄴㅇ" hidden="1">{#N/A,#N/A,FALSE,"조골재"}</definedName>
    <definedName name="ㄴㅁㄹㄴㅁㅇㄴㅇㅁㄹㄴ" hidden="1">{#N/A,#N/A,FALSE,"단가표지"}</definedName>
    <definedName name="ㄴㅇㄹ" hidden="1">{#N/A,#N/A,FALSE,"CCTV"}</definedName>
    <definedName name="내역서1" hidden="1">{"'단계별시설공사비'!$A$3:$K$51"}</definedName>
    <definedName name="내역서1_1" hidden="1">{"'단계별시설공사비'!$A$3:$K$51"}</definedName>
    <definedName name="내역서2" hidden="1">{"'단계별시설공사비'!$A$3:$K$51"}</definedName>
    <definedName name="내역서2_1" hidden="1">{"'단계별시설공사비'!$A$3:$K$51"}</definedName>
    <definedName name="넣러" hidden="1">{#N/A,#N/A,FALSE,"표지목차"}</definedName>
    <definedName name="놓ㄹ노" hidden="1">{#N/A,#N/A,FALSE,"골재소요량";#N/A,#N/A,FALSE,"골재소요량"}</definedName>
    <definedName name="ㄶㅇㅀㄴㅇ" hidden="1">{#N/A,#N/A,FALSE,"표지목차"}</definedName>
    <definedName name="ㄷㄱ" hidden="1">{#N/A,#N/A,FALSE,"단가표지"}</definedName>
    <definedName name="ㄷㄳ" hidden="1">{"'장비'!$A$3:$M$12"}</definedName>
    <definedName name="ㄷㄷㄷ" hidden="1">{#N/A,#N/A,FALSE,"운반시간"}</definedName>
    <definedName name="ㄷㄷㄷㄷ" hidden="1">{"'장비'!$A$3:$M$12"}</definedName>
    <definedName name="ㄷㅅㅈ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ㄴㅇㄻㄴ" hidden="1">{#N/A,#N/A,FALSE,"단가표지"}</definedName>
    <definedName name="ㄹㄴ웋" hidden="1">{#N/A,#N/A,FALSE,"운반시간"}</definedName>
    <definedName name="ㄹㄹ" hidden="1">{"'장비'!$A$3:$M$12"}</definedName>
    <definedName name="ㄹㄹㄹ" hidden="1">#REF!</definedName>
    <definedName name="ㄹㅇㄹ" hidden="1">{#N/A,#N/A,FALSE,"혼합골재"}</definedName>
    <definedName name="ㄹㅇㅎㄴㅇ" hidden="1">{#N/A,#N/A,FALSE,"조골재"}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hidden="1">{#N/A,#N/A,FALSE,"CCTV"}</definedName>
    <definedName name="러러러" hidden="1">{#N/A,#N/A,FALSE,"현장 NCR 분석";#N/A,#N/A,FALSE,"현장품질감사";#N/A,#N/A,FALSE,"현장품질감사"}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ㅇㅁ" hidden="1">{#N/A,#N/A,FALSE,"골재소요량";#N/A,#N/A,FALSE,"골재소요량"}</definedName>
    <definedName name="ㅁ" hidden="1">{#N/A,#N/A,FALSE,"명세표"}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ㄹㄴ" hidden="1">{#N/A,#N/A,FALSE,"운반시간"}</definedName>
    <definedName name="ㅁㄴㄹㅇㅁ" hidden="1">{#N/A,#N/A,FALSE,"단가표지"}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ㄹ호" hidden="1">{#N/A,#N/A,FALSE,"토공2"}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 hidden="1">{#N/A,#N/A,FALSE,"명세표"}</definedName>
    <definedName name="ㅁㅁㅁ" hidden="1">#REF!</definedName>
    <definedName name="ㅁㅁㅁㅁ" hidden="1">{#N/A,#N/A,FALSE,"혼합골재"}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ㄹㄴㅇㅁㄹ" hidden="1">{#N/A,#N/A,FALSE,"운반시간"}</definedName>
    <definedName name="ㅁㅇㄻ" hidden="1">{#N/A,#N/A,FALSE,"조골재"}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머" hidden="1">{#N/A,#N/A,FALSE,"명세표"}</definedName>
    <definedName name="ㅂ" hidden="1">{#N/A,#N/A,FALSE,"표지목차"}</definedName>
    <definedName name="ㅂㅂ" hidden="1">{#N/A,#N/A,FALSE,"단가표지"}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배수공" hidden="1">{#N/A,#N/A,FALSE,"부대1"}</definedName>
    <definedName name="배수공1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hidden="1">{#N/A,#N/A,FALSE,"단가표지"}</definedName>
    <definedName name="비교표1" hidden="1">255</definedName>
    <definedName name="ㅅㄱㄱㄷ" hidden="1">{"'장비'!$A$3:$M$12"}</definedName>
    <definedName name="ㅅ굲유" hidden="1">{#N/A,#N/A,FALSE,"조골재"}</definedName>
    <definedName name="ㅅㅅ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비2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수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중단가" hidden="1">{"'단계별시설공사비'!$A$3:$K$51"}</definedName>
    <definedName name="시중단가_1" hidden="1">{"'단계별시설공사비'!$A$3:$K$51"}</definedName>
    <definedName name="신설" hidden="1">{#N/A,#N/A,FALSE,"명세표"}</definedName>
    <definedName name="ㅇㄴㄻ" hidden="1">{#N/A,#N/A,FALSE,"표지목차"}</definedName>
    <definedName name="ㅇㄴㄻㄴㅇ" hidden="1">{#N/A,#N/A,FALSE,"표지목차"}</definedName>
    <definedName name="ㅇㄹㄹ" hidden="1">#REF!</definedName>
    <definedName name="ㅇㄻㅇㄻㄴㄹ" hidden="1">{#N/A,#N/A,FALSE,"단가표지"}</definedName>
    <definedName name="ㅇㅀㅁㅇㅁㅇ" hidden="1">{#N/A,#N/A,FALSE,"단가표지"}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hidden="1">{#N/A,#N/A,FALSE,"표지목차"}</definedName>
    <definedName name="ㅇㅇㅇㅇㅇ" hidden="1">{#N/A,#N/A,FALSE,"이정표"}</definedName>
    <definedName name="ㅇㅇㅇㅇㅇㅇ" hidden="1">{#N/A,#N/A,FALSE,"속도"}</definedName>
    <definedName name="ㅇ호" hidden="1">{#N/A,#N/A,FALSE,"혼합골재"}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연습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ㅗ홓ㅇ" hidden="1">{#N/A,#N/A,FALSE,"조골재"}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표" hidden="1">{#N/A,#N/A,FALSE,"이정표"}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ㄱ" hidden="1">{#N/A,#N/A,FALSE,"CCTV"}</definedName>
    <definedName name="ㅈ그" hidden="1">{#N/A,#N/A,FALSE,"CCTV"}</definedName>
    <definedName name="ㅈㅈㅈㅈ" hidden="1">{#N/A,#N/A,FALSE,"명세표"}</definedName>
    <definedName name="자미" hidden="1">{#N/A,#N/A,FALSE,"명세표"}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업" hidden="1">#REF!</definedName>
    <definedName name="전계장금액" hidden="1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즈" hidden="1">{#N/A,#N/A,FALSE,"CCTV"}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집계" hidden="1">{#N/A,#N/A,FALSE,"명세표"}</definedName>
    <definedName name="ㅉㅉㅉㅉㅉ" hidden="1">{"'장비'!$A$3:$M$12"}</definedName>
    <definedName name="쪽쪽쪽" hidden="1">{"'장비'!$A$3:$M$12"}</definedName>
    <definedName name="ㅊㅍㅋㅌㅊㅋ" hidden="1">{#N/A,#N/A,FALSE,"운반시간"}</definedName>
    <definedName name="ㅊㅍㅋㅌㅍㅌ" hidden="1">{#N/A,#N/A,FALSE,"혼합골재"}</definedName>
    <definedName name="차이내역" hidden="1">{#N/A,#N/A,FALSE,"이정표"}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분" hidden="1">{"'장비'!$A$3:$M$12"}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ㅌㅍ츛ㅌ" hidden="1">{#N/A,#N/A,FALSE,"운반시간"}</definedName>
    <definedName name="테스크" hidden="1">{#N/A,#N/A,FALSE,"단가표지"}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hidden="1">{"'장비'!$A$3:$M$12"}</definedName>
    <definedName name="토건업체" hidden="1">{"'장비'!$A$3:$M$12"}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설계" hidden="1">{#N/A,#N/A,FALSE,"골재소요량";#N/A,#N/A,FALSE,"골재소요량"}</definedName>
    <definedName name="투찰예정가50" hidden="1">{"'장비'!$A$3:$M$12"}</definedName>
    <definedName name="투찰예정본부장" hidden="1">{"'장비'!$A$3:$M$12"}</definedName>
    <definedName name="ㅍ춫" hidden="1">{#N/A,#N/A,FALSE,"골재소요량";#N/A,#N/A,FALSE,"골재소요량"}</definedName>
    <definedName name="ㅍ츝" hidden="1">{#N/A,#N/A,FALSE,"표지목차"}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우" hidden="1">{#N/A,#N/A,FALSE,"표지목차"}</definedName>
    <definedName name="호우ㅗ" hidden="1">{#N/A,#N/A,FALSE,"단가표지"}</definedName>
    <definedName name="호호호" hidden="1">{#N/A,#N/A,FALSE,"명세표"}</definedName>
    <definedName name="호ㅓㅎ" hidden="1">{#N/A,#N/A,FALSE,"표지목차"}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ㅏ허화" hidden="1">{#N/A,#N/A,FALSE,"골재소요량";#N/A,#N/A,FALSE,"골재소요량"}</definedName>
    <definedName name="ㅏㅏㅏ" hidden="1">{#N/A,#N/A,FALSE,"명세표"}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ㅗㅗㅗㅗ" hidden="1">{"'장비'!$A$3:$M$12"}</definedName>
    <definedName name="ㅗㅠㅍ" hidden="1">{#N/A,#N/A,FALSE,"혼합골재"}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ㅇㄴㄴㄹㅇ" hidden="1">{#N/A,#N/A,FALSE,"단가표지"}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ㅡ" hidden="1">{#N/A,#N/A,FALSE,"명세표"}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5" l="1"/>
  <c r="Z67" i="8"/>
  <c r="AA67" i="8" s="1"/>
  <c r="AB67" i="8" s="1"/>
  <c r="AC67" i="8" s="1"/>
  <c r="AE67" i="8" s="1"/>
  <c r="AG67" i="8" s="1"/>
  <c r="AH67" i="8" s="1"/>
  <c r="AI67" i="8" s="1"/>
  <c r="AJ67" i="8" s="1"/>
  <c r="AM67" i="8" s="1"/>
  <c r="AN67" i="8" s="1"/>
  <c r="AO67" i="8" s="1"/>
  <c r="AQ67" i="8" s="1"/>
  <c r="T67" i="8"/>
  <c r="U67" i="8" s="1"/>
  <c r="V67" i="8" s="1"/>
  <c r="W67" i="8" s="1"/>
  <c r="B68" i="8"/>
  <c r="C68" i="8" s="1"/>
  <c r="D68" i="8" s="1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Y68" i="8" s="1"/>
  <c r="Z68" i="8" s="1"/>
  <c r="AA68" i="8" s="1"/>
  <c r="AB68" i="8" s="1"/>
  <c r="AC68" i="8" s="1"/>
  <c r="AD68" i="8" s="1"/>
  <c r="AE68" i="8" s="1"/>
  <c r="AF68" i="8" s="1"/>
  <c r="K67" i="8"/>
  <c r="L67" i="8" s="1"/>
  <c r="M67" i="8" s="1"/>
  <c r="N67" i="8" s="1"/>
  <c r="O67" i="8" s="1"/>
  <c r="G67" i="8"/>
  <c r="H67" i="8" s="1"/>
  <c r="B67" i="8"/>
  <c r="C67" i="8" s="1"/>
  <c r="D67" i="8" s="1"/>
  <c r="B54" i="8"/>
  <c r="C16" i="8"/>
  <c r="C15" i="8"/>
  <c r="C14" i="8"/>
  <c r="C9" i="8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B62" i="5"/>
  <c r="C62" i="5" s="1"/>
  <c r="D62" i="5" s="1"/>
  <c r="E62" i="5" s="1"/>
  <c r="F62" i="5" s="1"/>
  <c r="G62" i="5" s="1"/>
  <c r="H62" i="5" s="1"/>
  <c r="I62" i="5" s="1"/>
  <c r="J62" i="5" s="1"/>
  <c r="K62" i="5" s="1"/>
  <c r="L62" i="5" s="1"/>
  <c r="M62" i="5" s="1"/>
  <c r="N62" i="5" s="1"/>
  <c r="O62" i="5" s="1"/>
  <c r="Q62" i="5" s="1"/>
  <c r="B61" i="5"/>
  <c r="C61" i="5" s="1"/>
  <c r="D61" i="5" s="1"/>
  <c r="G61" i="5" s="1"/>
  <c r="H61" i="5" s="1"/>
  <c r="K61" i="5" s="1"/>
  <c r="L61" i="5" s="1"/>
  <c r="M61" i="5" s="1"/>
  <c r="N61" i="5" s="1"/>
  <c r="O61" i="5" s="1"/>
  <c r="S61" i="5" s="1"/>
  <c r="T61" i="5" s="1"/>
  <c r="U61" i="5" s="1"/>
  <c r="V61" i="5" s="1"/>
  <c r="W61" i="5" s="1"/>
  <c r="AJ61" i="5" s="1"/>
  <c r="AK61" i="5" s="1"/>
  <c r="AL61" i="5" s="1"/>
  <c r="AD60" i="5"/>
  <c r="AC60" i="5"/>
  <c r="AB60" i="5"/>
  <c r="AA60" i="5"/>
  <c r="W60" i="5"/>
  <c r="V60" i="5"/>
  <c r="U60" i="5"/>
  <c r="T60" i="5"/>
  <c r="S60" i="5"/>
  <c r="C16" i="5"/>
  <c r="C15" i="5"/>
  <c r="C14" i="5"/>
  <c r="C9" i="5"/>
  <c r="B48" i="5"/>
  <c r="S62" i="5" l="1"/>
  <c r="T62" i="5" s="1"/>
  <c r="U62" i="5" s="1"/>
  <c r="V62" i="5" s="1"/>
  <c r="W62" i="5" s="1"/>
  <c r="X62" i="5" s="1"/>
  <c r="Y62" i="5" s="1"/>
  <c r="Z62" i="5" s="1"/>
  <c r="AA62" i="5" s="1"/>
  <c r="AB62" i="5" s="1"/>
  <c r="AC62" i="5" s="1"/>
  <c r="AD62" i="5" s="1"/>
  <c r="AE62" i="5" s="1"/>
</calcChain>
</file>

<file path=xl/sharedStrings.xml><?xml version="1.0" encoding="utf-8"?>
<sst xmlns="http://schemas.openxmlformats.org/spreadsheetml/2006/main" count="205" uniqueCount="130">
  <si>
    <t>Desvio (%)</t>
  </si>
  <si>
    <t>Desvio (dias)</t>
  </si>
  <si>
    <t>SABARÁ</t>
  </si>
  <si>
    <t>PLATZ</t>
  </si>
  <si>
    <t>PMG REAJUSTADO</t>
  </si>
  <si>
    <t>FATURADO</t>
  </si>
  <si>
    <t>CONTRATADO</t>
  </si>
  <si>
    <t>A CONTRATAR</t>
  </si>
  <si>
    <t>Previsto</t>
  </si>
  <si>
    <t>Realizado</t>
  </si>
  <si>
    <t>Contratual</t>
  </si>
  <si>
    <t>Reprogramação AF</t>
  </si>
  <si>
    <t>PRAZO (MESES)</t>
  </si>
  <si>
    <t>1 - PRAZOS CONTRATUAIS</t>
  </si>
  <si>
    <t>2 - STATUS FISICO</t>
  </si>
  <si>
    <t>3 - STATUS FINANCEIRO</t>
  </si>
  <si>
    <t>CONSTRUTORA</t>
  </si>
  <si>
    <t>SUBFORNECEDORES</t>
  </si>
  <si>
    <t>TOTAL</t>
  </si>
  <si>
    <t>MÊS</t>
  </si>
  <si>
    <t>FUNDAÇÃO</t>
  </si>
  <si>
    <t>4ºSS</t>
  </si>
  <si>
    <t>3ºSS</t>
  </si>
  <si>
    <t>2ºSS</t>
  </si>
  <si>
    <t>1ºSS</t>
  </si>
  <si>
    <t>TÉRREO</t>
  </si>
  <si>
    <t>1º PAV</t>
  </si>
  <si>
    <t>2º PAV</t>
  </si>
  <si>
    <t>3º PAV</t>
  </si>
  <si>
    <t>4º PAV</t>
  </si>
  <si>
    <t>5º PAV</t>
  </si>
  <si>
    <t>6º PAV</t>
  </si>
  <si>
    <t>7º PAV</t>
  </si>
  <si>
    <t>8º PAV</t>
  </si>
  <si>
    <t>9º PAV</t>
  </si>
  <si>
    <t>10º PAV</t>
  </si>
  <si>
    <t>11º PAV</t>
  </si>
  <si>
    <t>12º PAV</t>
  </si>
  <si>
    <t>13º PAV</t>
  </si>
  <si>
    <t>14º PAV</t>
  </si>
  <si>
    <t>15º PAV</t>
  </si>
  <si>
    <t>16º PAV</t>
  </si>
  <si>
    <t>17º PAV</t>
  </si>
  <si>
    <t>18º PAV</t>
  </si>
  <si>
    <t>19º PAV</t>
  </si>
  <si>
    <t>20º PAV</t>
  </si>
  <si>
    <t>21º PAV</t>
  </si>
  <si>
    <t>22º PAV</t>
  </si>
  <si>
    <t>23º PAV</t>
  </si>
  <si>
    <t>24º PAV</t>
  </si>
  <si>
    <t>25º PAV</t>
  </si>
  <si>
    <t>LAJE TÉCNICA</t>
  </si>
  <si>
    <t>26º PAV</t>
  </si>
  <si>
    <t>ÁTICO</t>
  </si>
  <si>
    <t>COBERTURA</t>
  </si>
  <si>
    <t>FACHADA</t>
  </si>
  <si>
    <t>ELEVADOR</t>
  </si>
  <si>
    <t>FACHADA ATIVA</t>
  </si>
  <si>
    <t>5SS</t>
  </si>
  <si>
    <t>4SS</t>
  </si>
  <si>
    <t>3SS</t>
  </si>
  <si>
    <t>2SS</t>
  </si>
  <si>
    <t>1SS</t>
  </si>
  <si>
    <t>TERREO</t>
  </si>
  <si>
    <t>1PAV</t>
  </si>
  <si>
    <t>2PAV</t>
  </si>
  <si>
    <t>3PAV</t>
  </si>
  <si>
    <t>4PAV</t>
  </si>
  <si>
    <t>5PAV</t>
  </si>
  <si>
    <t>6PAV</t>
  </si>
  <si>
    <t>7PAV</t>
  </si>
  <si>
    <t>8PAV</t>
  </si>
  <si>
    <t>9PAV</t>
  </si>
  <si>
    <t>10PAV</t>
  </si>
  <si>
    <t>11PAV</t>
  </si>
  <si>
    <t>12PAV</t>
  </si>
  <si>
    <t>13PAV</t>
  </si>
  <si>
    <t>14PAV</t>
  </si>
  <si>
    <t>15PAV</t>
  </si>
  <si>
    <t>16PAV</t>
  </si>
  <si>
    <t>17PAV</t>
  </si>
  <si>
    <t>ATICO</t>
  </si>
  <si>
    <t>EDÍFICIO</t>
  </si>
  <si>
    <t>DESCRIÇÃO</t>
  </si>
  <si>
    <t>Pavimento</t>
  </si>
  <si>
    <t>SEMANAL PREVISTO</t>
  </si>
  <si>
    <t>ACUMULADO PREVISTO</t>
  </si>
  <si>
    <t>SEMANAL REALIZADO</t>
  </si>
  <si>
    <t>ACUMULADO REALIZADO</t>
  </si>
  <si>
    <t>MENSAL PREVISTO</t>
  </si>
  <si>
    <t>MENSAL REALIZADO</t>
  </si>
  <si>
    <t>Contratado</t>
  </si>
  <si>
    <t>A contratar</t>
  </si>
  <si>
    <t>4 - STATUS SUPRIMENTOS</t>
  </si>
  <si>
    <t>5 - PRÓXIMAS CONTRATAÇÕES</t>
  </si>
  <si>
    <t>Atividade</t>
  </si>
  <si>
    <t>Data atualizada</t>
  </si>
  <si>
    <t>Verba / Estimativa</t>
  </si>
  <si>
    <t>ALBELV</t>
  </si>
  <si>
    <t>CORRENTE</t>
  </si>
  <si>
    <t>CIAMON</t>
  </si>
  <si>
    <t>OFFICE FLEX</t>
  </si>
  <si>
    <t>INTEGRAL</t>
  </si>
  <si>
    <t>VIBES</t>
  </si>
  <si>
    <t>ARPOL</t>
  </si>
  <si>
    <t>FND</t>
  </si>
  <si>
    <t>MEGA METRO</t>
  </si>
  <si>
    <t>CONTROLLER</t>
  </si>
  <si>
    <t>THYSSEN</t>
  </si>
  <si>
    <t>ITEFAL</t>
  </si>
  <si>
    <t>SBOCCE</t>
  </si>
  <si>
    <t>CONSTATA</t>
  </si>
  <si>
    <t>6 - EFETIVO DE OBRA</t>
  </si>
  <si>
    <t>7 - EVOLUÇÃO SEMANAL</t>
  </si>
  <si>
    <t>8 - EVOLUÇÃO MENSAL</t>
  </si>
  <si>
    <t>9 - EVOLUÇÃO POR PAVIMENTO</t>
  </si>
  <si>
    <t>RÉGUAS MEDICINAIS</t>
  </si>
  <si>
    <t>FORRO</t>
  </si>
  <si>
    <t>PINTURA</t>
  </si>
  <si>
    <t>DIVISÓRIAS DE ALUMINIO</t>
  </si>
  <si>
    <t>BATE MACA</t>
  </si>
  <si>
    <t>BANCADAS CORIAN / LURE</t>
  </si>
  <si>
    <t>BANCADAS INOX</t>
  </si>
  <si>
    <t>REVESTIMENTO ATRIO</t>
  </si>
  <si>
    <t>PISO DA CALÇADA</t>
  </si>
  <si>
    <t>LIMPEZA</t>
  </si>
  <si>
    <t>COMUNICAÇÃO VISUAL</t>
  </si>
  <si>
    <t>DEMARCAÇÃO DE VAGAS</t>
  </si>
  <si>
    <t>PISO PODOTÁTIL</t>
  </si>
  <si>
    <t>LUMINÁRIAS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</si>
</sst>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5" formatCode="dd/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rgb="FF363636"/>
      <name val="Century Gothic"/>
      <family val="2"/>
    </font>
    <font>
      <b/>
      <sz val="10"/>
      <color rgb="FF000000"/>
      <name val="Segoe UI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i/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6C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6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0">
    <xf numFmtId="0" fontId="0" fillId="0" borderId="0" xfId="0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8" fillId="4" borderId="6" xfId="0" applyFont="1" applyFill="1" applyBorder="1" applyAlignment="1">
      <alignment vertical="center"/>
    </xf>
    <xf numFmtId="17" fontId="3" fillId="4" borderId="7" xfId="0" applyNumberFormat="1" applyFont="1" applyFill="1" applyBorder="1" applyAlignment="1">
      <alignment horizontal="center"/>
    </xf>
    <xf numFmtId="17" fontId="3" fillId="4" borderId="8" xfId="0" applyNumberFormat="1" applyFont="1" applyFill="1" applyBorder="1" applyAlignment="1">
      <alignment horizontal="center"/>
    </xf>
    <xf numFmtId="17" fontId="3" fillId="4" borderId="9" xfId="0" applyNumberFormat="1" applyFont="1" applyFill="1" applyBorder="1" applyAlignment="1">
      <alignment horizontal="center"/>
    </xf>
    <xf numFmtId="17" fontId="3" fillId="4" borderId="10" xfId="0" applyNumberFormat="1" applyFont="1" applyFill="1" applyBorder="1" applyAlignment="1">
      <alignment horizontal="center"/>
    </xf>
    <xf numFmtId="9" fontId="0" fillId="0" borderId="0" xfId="1" applyFont="1"/>
    <xf numFmtId="10" fontId="9" fillId="5" borderId="14" xfId="0" applyNumberFormat="1" applyFont="1" applyFill="1" applyBorder="1" applyAlignment="1">
      <alignment horizontal="left" vertical="center"/>
    </xf>
    <xf numFmtId="10" fontId="9" fillId="6" borderId="14" xfId="0" applyNumberFormat="1" applyFont="1" applyFill="1" applyBorder="1" applyAlignment="1">
      <alignment horizontal="left" vertical="center"/>
    </xf>
    <xf numFmtId="17" fontId="3" fillId="4" borderId="11" xfId="0" applyNumberFormat="1" applyFont="1" applyFill="1" applyBorder="1" applyAlignment="1">
      <alignment horizontal="center"/>
    </xf>
    <xf numFmtId="17" fontId="3" fillId="4" borderId="12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0" fontId="8" fillId="4" borderId="18" xfId="0" applyFont="1" applyFill="1" applyBorder="1" applyAlignment="1">
      <alignment vertical="center"/>
    </xf>
    <xf numFmtId="17" fontId="3" fillId="4" borderId="13" xfId="0" applyNumberFormat="1" applyFont="1" applyFill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 vertical="center"/>
    </xf>
    <xf numFmtId="4" fontId="9" fillId="5" borderId="14" xfId="0" applyNumberFormat="1" applyFont="1" applyFill="1" applyBorder="1" applyAlignment="1">
      <alignment horizontal="center" vertical="center"/>
    </xf>
    <xf numFmtId="4" fontId="9" fillId="6" borderId="14" xfId="0" applyNumberFormat="1" applyFont="1" applyFill="1" applyBorder="1" applyAlignment="1">
      <alignment horizontal="center" vertical="center"/>
    </xf>
    <xf numFmtId="4" fontId="9" fillId="6" borderId="15" xfId="0" applyNumberFormat="1" applyFont="1" applyFill="1" applyBorder="1" applyAlignment="1">
      <alignment horizontal="center" vertical="center"/>
    </xf>
    <xf numFmtId="4" fontId="9" fillId="6" borderId="16" xfId="0" applyNumberFormat="1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/>
    </xf>
    <xf numFmtId="0" fontId="5" fillId="0" borderId="0" xfId="0" applyFont="1"/>
    <xf numFmtId="1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22" xfId="0" applyFont="1" applyBorder="1"/>
    <xf numFmtId="14" fontId="0" fillId="0" borderId="0" xfId="0" applyNumberFormat="1"/>
    <xf numFmtId="10" fontId="4" fillId="0" borderId="0" xfId="0" applyNumberFormat="1" applyFont="1" applyAlignment="1">
      <alignment horizontal="center" vertical="center"/>
    </xf>
    <xf numFmtId="0" fontId="0" fillId="0" borderId="25" xfId="0" applyBorder="1"/>
    <xf numFmtId="0" fontId="0" fillId="0" borderId="27" xfId="0" applyBorder="1"/>
    <xf numFmtId="0" fontId="1" fillId="9" borderId="23" xfId="0" applyFont="1" applyFill="1" applyBorder="1" applyAlignment="1">
      <alignment horizontal="center"/>
    </xf>
    <xf numFmtId="1" fontId="1" fillId="9" borderId="7" xfId="0" applyNumberFormat="1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4" fontId="0" fillId="0" borderId="26" xfId="0" applyNumberFormat="1" applyBorder="1"/>
    <xf numFmtId="4" fontId="0" fillId="0" borderId="29" xfId="0" applyNumberFormat="1" applyBorder="1"/>
    <xf numFmtId="2" fontId="0" fillId="0" borderId="0" xfId="0" applyNumberFormat="1" applyAlignment="1">
      <alignment horizontal="center"/>
    </xf>
    <xf numFmtId="0" fontId="0" fillId="0" borderId="3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34" xfId="0" applyNumberFormat="1" applyFon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10" fontId="11" fillId="6" borderId="3" xfId="0" applyNumberFormat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11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DFEA-67D0-4772-8D46-8FD064C01958}">
  <dimension ref="A1:AM103"/>
  <sheetViews>
    <sheetView tabSelected="1" zoomScale="80" zoomScaleNormal="80" workbookViewId="0">
      <selection activeCell="D105" sqref="D105"/>
    </sheetView>
  </sheetViews>
  <sheetFormatPr defaultRowHeight="14.4" x14ac:dyDescent="0.3"/>
  <cols>
    <col min="1" max="1" width="24" bestFit="1" customWidth="1"/>
    <col min="2" max="2" width="18.21875" customWidth="1"/>
    <col min="3" max="3" width="19" customWidth="1"/>
    <col min="4" max="5" width="15.6640625" style="6" customWidth="1"/>
    <col min="6" max="6" width="17.109375" style="6" customWidth="1"/>
    <col min="7" max="7" width="16.33203125" style="6" customWidth="1"/>
    <col min="8" max="14" width="15.77734375" customWidth="1"/>
  </cols>
  <sheetData>
    <row r="1" spans="1:8" ht="15" thickBot="1" x14ac:dyDescent="0.35">
      <c r="A1" s="80" t="s">
        <v>13</v>
      </c>
      <c r="B1" s="80"/>
      <c r="C1" s="80"/>
      <c r="D1" s="80"/>
      <c r="E1" s="44"/>
      <c r="F1" s="44"/>
      <c r="G1" s="44"/>
    </row>
    <row r="2" spans="1:8" ht="15" thickBot="1" x14ac:dyDescent="0.35">
      <c r="A2" s="81" t="s">
        <v>82</v>
      </c>
      <c r="B2" s="82"/>
      <c r="C2" s="39" t="s">
        <v>83</v>
      </c>
      <c r="D2" s="39" t="s">
        <v>12</v>
      </c>
      <c r="E2"/>
      <c r="F2"/>
      <c r="G2"/>
    </row>
    <row r="3" spans="1:8" x14ac:dyDescent="0.3">
      <c r="A3" s="83" t="s">
        <v>3</v>
      </c>
      <c r="B3" s="65" t="s">
        <v>10</v>
      </c>
      <c r="C3" s="67">
        <v>46323</v>
      </c>
      <c r="D3" s="68">
        <v>35</v>
      </c>
      <c r="E3" s="45"/>
      <c r="F3" s="45"/>
      <c r="G3"/>
    </row>
    <row r="4" spans="1:8" ht="15" thickBot="1" x14ac:dyDescent="0.35">
      <c r="A4" s="84"/>
      <c r="B4" s="69" t="s">
        <v>11</v>
      </c>
      <c r="C4" s="70">
        <v>46385</v>
      </c>
      <c r="D4" s="71">
        <v>37</v>
      </c>
      <c r="E4"/>
      <c r="F4"/>
      <c r="G4"/>
    </row>
    <row r="5" spans="1:8" ht="15" thickBot="1" x14ac:dyDescent="0.35">
      <c r="A5" s="2"/>
      <c r="B5" s="2"/>
      <c r="D5" s="7"/>
      <c r="E5" s="8"/>
      <c r="F5" s="7"/>
    </row>
    <row r="6" spans="1:8" ht="15" thickBot="1" x14ac:dyDescent="0.35">
      <c r="A6" s="85" t="s">
        <v>14</v>
      </c>
      <c r="B6" s="85"/>
      <c r="C6" s="85"/>
      <c r="D6" s="85"/>
      <c r="E6" s="8"/>
      <c r="F6" s="7"/>
    </row>
    <row r="7" spans="1:8" x14ac:dyDescent="0.3">
      <c r="A7" s="86" t="s">
        <v>3</v>
      </c>
      <c r="B7" s="86"/>
      <c r="C7" s="86"/>
      <c r="D7" s="86"/>
    </row>
    <row r="8" spans="1:8" x14ac:dyDescent="0.3">
      <c r="A8" s="9" t="s">
        <v>8</v>
      </c>
      <c r="B8" s="9" t="s">
        <v>9</v>
      </c>
      <c r="C8" s="9" t="s">
        <v>0</v>
      </c>
      <c r="D8" s="9" t="s">
        <v>1</v>
      </c>
    </row>
    <row r="9" spans="1:8" ht="15" thickBot="1" x14ac:dyDescent="0.35">
      <c r="A9" s="10">
        <v>68.849999999999994</v>
      </c>
      <c r="B9" s="10">
        <v>68.39</v>
      </c>
      <c r="C9" s="10">
        <f>B9-A9</f>
        <v>-0.45999999999999375</v>
      </c>
      <c r="D9" s="11">
        <v>0</v>
      </c>
    </row>
    <row r="10" spans="1:8" ht="15" thickBot="1" x14ac:dyDescent="0.35"/>
    <row r="11" spans="1:8" ht="15" thickBot="1" x14ac:dyDescent="0.35">
      <c r="A11" s="87" t="s">
        <v>15</v>
      </c>
      <c r="B11" s="87"/>
      <c r="C11" s="87"/>
      <c r="D11" s="87"/>
    </row>
    <row r="12" spans="1:8" x14ac:dyDescent="0.3">
      <c r="A12" s="40"/>
      <c r="B12" s="28" t="s">
        <v>3</v>
      </c>
      <c r="C12" s="32"/>
      <c r="D12" s="3"/>
      <c r="E12" s="28"/>
      <c r="F12" s="32"/>
      <c r="G12" s="28"/>
      <c r="H12" s="32"/>
    </row>
    <row r="13" spans="1:8" x14ac:dyDescent="0.3">
      <c r="A13" s="29" t="s">
        <v>4</v>
      </c>
      <c r="B13" s="31">
        <v>104312358.13820486</v>
      </c>
      <c r="C13" s="31"/>
      <c r="D13" s="3"/>
      <c r="E13" s="31"/>
      <c r="F13" s="31"/>
      <c r="G13" s="31"/>
      <c r="H13" s="31"/>
    </row>
    <row r="14" spans="1:8" x14ac:dyDescent="0.3">
      <c r="A14" s="29" t="s">
        <v>5</v>
      </c>
      <c r="B14" s="31">
        <v>70956663.283784002</v>
      </c>
      <c r="C14" s="46">
        <f>B14/B13</f>
        <v>0.68023256831920675</v>
      </c>
      <c r="D14" s="3"/>
      <c r="E14" s="31"/>
      <c r="F14" s="31"/>
      <c r="G14" s="31"/>
      <c r="H14" s="31"/>
    </row>
    <row r="15" spans="1:8" x14ac:dyDescent="0.3">
      <c r="A15" s="29" t="s">
        <v>6</v>
      </c>
      <c r="B15" s="31">
        <v>103872878.65205036</v>
      </c>
      <c r="C15" s="46">
        <f>B15/B13</f>
        <v>0.99578688954982475</v>
      </c>
      <c r="D15" s="3"/>
      <c r="E15" s="31"/>
      <c r="F15" s="31"/>
      <c r="G15" s="31"/>
      <c r="H15" s="31"/>
    </row>
    <row r="16" spans="1:8" x14ac:dyDescent="0.3">
      <c r="A16" s="29" t="s">
        <v>7</v>
      </c>
      <c r="B16" s="31">
        <v>439479.48615449667</v>
      </c>
      <c r="C16" s="1">
        <f>B16/B13</f>
        <v>4.2131104501752737E-3</v>
      </c>
      <c r="E16" s="1"/>
      <c r="F16" s="1"/>
      <c r="G16" s="1"/>
    </row>
    <row r="17" spans="1:10" ht="15" thickBot="1" x14ac:dyDescent="0.35">
      <c r="A17" s="29"/>
      <c r="B17" s="30"/>
      <c r="C17" s="30"/>
      <c r="D17" s="30"/>
      <c r="E17" s="33"/>
      <c r="F17" s="33"/>
      <c r="H17" s="1"/>
      <c r="I17" s="1"/>
      <c r="J17" s="1"/>
    </row>
    <row r="18" spans="1:10" ht="15" thickBot="1" x14ac:dyDescent="0.35">
      <c r="A18" s="88" t="s">
        <v>93</v>
      </c>
      <c r="B18" s="88"/>
      <c r="C18" s="88"/>
      <c r="D18" s="88"/>
      <c r="E18"/>
      <c r="F18"/>
      <c r="G18"/>
    </row>
    <row r="19" spans="1:10" x14ac:dyDescent="0.3">
      <c r="A19" s="6" t="s">
        <v>91</v>
      </c>
      <c r="B19" s="61">
        <v>99.58</v>
      </c>
      <c r="D19"/>
      <c r="E19"/>
      <c r="F19"/>
      <c r="G19"/>
    </row>
    <row r="20" spans="1:10" x14ac:dyDescent="0.3">
      <c r="A20" s="6" t="s">
        <v>92</v>
      </c>
      <c r="B20" s="61">
        <v>0.42</v>
      </c>
      <c r="D20"/>
      <c r="E20"/>
      <c r="F20"/>
      <c r="G20"/>
    </row>
    <row r="21" spans="1:10" ht="15" thickBot="1" x14ac:dyDescent="0.35">
      <c r="D21"/>
      <c r="E21"/>
      <c r="F21"/>
      <c r="G21"/>
    </row>
    <row r="22" spans="1:10" ht="15" thickBot="1" x14ac:dyDescent="0.35">
      <c r="A22" s="89" t="s">
        <v>94</v>
      </c>
      <c r="B22" s="89"/>
      <c r="C22" s="89"/>
      <c r="D22" s="89"/>
      <c r="E22"/>
      <c r="F22"/>
      <c r="G22"/>
    </row>
    <row r="23" spans="1:10" x14ac:dyDescent="0.3">
      <c r="A23" s="49" t="s">
        <v>95</v>
      </c>
      <c r="B23" s="50" t="s">
        <v>96</v>
      </c>
      <c r="C23" s="51" t="s">
        <v>97</v>
      </c>
      <c r="D23"/>
      <c r="E23"/>
      <c r="F23"/>
      <c r="G23"/>
    </row>
    <row r="24" spans="1:10" x14ac:dyDescent="0.3">
      <c r="A24" s="47" t="s">
        <v>125</v>
      </c>
      <c r="B24" s="52">
        <v>46226</v>
      </c>
      <c r="C24" s="54"/>
      <c r="D24"/>
      <c r="E24"/>
      <c r="F24"/>
      <c r="G24"/>
    </row>
    <row r="25" spans="1:10" x14ac:dyDescent="0.3">
      <c r="A25" s="47" t="s">
        <v>126</v>
      </c>
      <c r="B25" s="52">
        <v>46226</v>
      </c>
      <c r="C25" s="54"/>
      <c r="D25"/>
      <c r="E25"/>
      <c r="F25"/>
      <c r="G25"/>
    </row>
    <row r="26" spans="1:10" x14ac:dyDescent="0.3">
      <c r="A26" s="47" t="s">
        <v>127</v>
      </c>
      <c r="B26" s="52">
        <v>46198</v>
      </c>
      <c r="C26" s="54"/>
      <c r="D26"/>
      <c r="E26"/>
      <c r="F26"/>
      <c r="G26"/>
    </row>
    <row r="27" spans="1:10" x14ac:dyDescent="0.3">
      <c r="A27" s="47" t="s">
        <v>124</v>
      </c>
      <c r="B27" s="52">
        <v>46195</v>
      </c>
      <c r="C27" s="54"/>
      <c r="D27"/>
      <c r="E27"/>
      <c r="F27"/>
      <c r="G27"/>
    </row>
    <row r="28" spans="1:10" ht="15" thickBot="1" x14ac:dyDescent="0.35">
      <c r="A28" s="48" t="s">
        <v>128</v>
      </c>
      <c r="B28" s="53">
        <v>46195</v>
      </c>
      <c r="C28" s="55"/>
      <c r="D28"/>
      <c r="E28"/>
      <c r="F28"/>
      <c r="G28"/>
    </row>
    <row r="29" spans="1:10" ht="15" thickBot="1" x14ac:dyDescent="0.35">
      <c r="A29" s="78" t="s">
        <v>18</v>
      </c>
      <c r="B29" s="79"/>
      <c r="C29" s="62">
        <f>SUM(C24:C28)</f>
        <v>0</v>
      </c>
      <c r="D29"/>
      <c r="E29"/>
      <c r="F29"/>
      <c r="G29"/>
    </row>
    <row r="30" spans="1:10" ht="15" thickBot="1" x14ac:dyDescent="0.35">
      <c r="B30" s="41"/>
      <c r="D30"/>
      <c r="E30"/>
      <c r="F30"/>
      <c r="G30"/>
    </row>
    <row r="31" spans="1:10" ht="15" thickBot="1" x14ac:dyDescent="0.35">
      <c r="A31" s="77" t="s">
        <v>112</v>
      </c>
      <c r="B31" s="77"/>
      <c r="C31" s="77"/>
      <c r="D31" s="77"/>
      <c r="E31" s="73"/>
      <c r="F31" s="73"/>
      <c r="G31" s="73"/>
      <c r="H31" s="73"/>
      <c r="I31" s="73"/>
      <c r="J31" s="73"/>
    </row>
    <row r="32" spans="1:10" x14ac:dyDescent="0.3">
      <c r="A32" t="s">
        <v>16</v>
      </c>
      <c r="B32" s="12">
        <v>70</v>
      </c>
    </row>
    <row r="33" spans="1:2" x14ac:dyDescent="0.3">
      <c r="A33" s="42" t="s">
        <v>98</v>
      </c>
      <c r="B33" s="12"/>
    </row>
    <row r="34" spans="1:2" x14ac:dyDescent="0.3">
      <c r="A34" s="43" t="s">
        <v>104</v>
      </c>
      <c r="B34" s="12"/>
    </row>
    <row r="35" spans="1:2" x14ac:dyDescent="0.3">
      <c r="A35" s="43" t="s">
        <v>107</v>
      </c>
      <c r="B35" s="12"/>
    </row>
    <row r="36" spans="1:2" x14ac:dyDescent="0.3">
      <c r="A36" s="43" t="s">
        <v>108</v>
      </c>
      <c r="B36" s="12"/>
    </row>
    <row r="37" spans="1:2" x14ac:dyDescent="0.3">
      <c r="A37" s="43" t="s">
        <v>109</v>
      </c>
      <c r="B37" s="12"/>
    </row>
    <row r="38" spans="1:2" x14ac:dyDescent="0.3">
      <c r="A38" s="43" t="s">
        <v>110</v>
      </c>
      <c r="B38" s="12"/>
    </row>
    <row r="39" spans="1:2" x14ac:dyDescent="0.3">
      <c r="A39" s="42" t="s">
        <v>100</v>
      </c>
      <c r="B39" s="12"/>
    </row>
    <row r="40" spans="1:2" x14ac:dyDescent="0.3">
      <c r="A40" s="42" t="s">
        <v>101</v>
      </c>
      <c r="B40" s="12"/>
    </row>
    <row r="41" spans="1:2" x14ac:dyDescent="0.3">
      <c r="A41" s="43" t="s">
        <v>102</v>
      </c>
      <c r="B41" s="12"/>
    </row>
    <row r="42" spans="1:2" x14ac:dyDescent="0.3">
      <c r="A42" s="43" t="s">
        <v>105</v>
      </c>
      <c r="B42" s="12"/>
    </row>
    <row r="43" spans="1:2" x14ac:dyDescent="0.3">
      <c r="A43" s="43" t="s">
        <v>106</v>
      </c>
      <c r="B43" s="12"/>
    </row>
    <row r="44" spans="1:2" x14ac:dyDescent="0.3">
      <c r="A44" s="42" t="s">
        <v>99</v>
      </c>
      <c r="B44" s="12"/>
    </row>
    <row r="45" spans="1:2" x14ac:dyDescent="0.3">
      <c r="A45" s="43" t="s">
        <v>103</v>
      </c>
      <c r="B45" s="12"/>
    </row>
    <row r="46" spans="1:2" x14ac:dyDescent="0.3">
      <c r="A46" s="43" t="s">
        <v>111</v>
      </c>
      <c r="B46" s="12"/>
    </row>
    <row r="47" spans="1:2" x14ac:dyDescent="0.3">
      <c r="A47" t="s">
        <v>17</v>
      </c>
      <c r="B47" s="12">
        <v>568</v>
      </c>
    </row>
    <row r="48" spans="1:2" x14ac:dyDescent="0.3">
      <c r="A48" t="s">
        <v>18</v>
      </c>
      <c r="B48" s="13">
        <f>B32+B47</f>
        <v>638</v>
      </c>
    </row>
    <row r="49" spans="1:39" ht="15" thickBot="1" x14ac:dyDescent="0.35"/>
    <row r="50" spans="1:39" ht="15" thickBot="1" x14ac:dyDescent="0.35">
      <c r="A50" s="74" t="s">
        <v>113</v>
      </c>
      <c r="B50" s="74"/>
      <c r="C50" s="74"/>
      <c r="D50" s="74"/>
      <c r="E50" s="74"/>
    </row>
    <row r="51" spans="1:39" ht="15" thickBot="1" x14ac:dyDescent="0.35">
      <c r="A51" s="14" t="s">
        <v>19</v>
      </c>
      <c r="B51" s="25">
        <v>46180</v>
      </c>
      <c r="C51" s="25">
        <v>46187</v>
      </c>
      <c r="D51" s="25">
        <v>46194</v>
      </c>
      <c r="E51" s="25">
        <v>46201</v>
      </c>
    </row>
    <row r="52" spans="1:39" x14ac:dyDescent="0.3">
      <c r="A52" s="20" t="s">
        <v>85</v>
      </c>
      <c r="B52" s="34">
        <v>1.1100000000000001</v>
      </c>
      <c r="C52" s="34">
        <v>1.1200000000000001</v>
      </c>
      <c r="D52" s="34">
        <v>1.1399999999999999</v>
      </c>
      <c r="E52" s="34">
        <v>1.23</v>
      </c>
    </row>
    <row r="53" spans="1:39" x14ac:dyDescent="0.3">
      <c r="A53" s="21" t="s">
        <v>87</v>
      </c>
      <c r="B53" s="35">
        <v>0.72</v>
      </c>
      <c r="C53" s="35">
        <v>0.81</v>
      </c>
      <c r="D53" s="35">
        <v>0.77</v>
      </c>
      <c r="E53" s="35">
        <v>0.64</v>
      </c>
    </row>
    <row r="54" spans="1:39" x14ac:dyDescent="0.3">
      <c r="A54" s="20" t="s">
        <v>86</v>
      </c>
      <c r="B54" s="34">
        <v>65.37</v>
      </c>
      <c r="C54" s="34">
        <v>66.489999999999995</v>
      </c>
      <c r="D54" s="34">
        <v>67.62</v>
      </c>
      <c r="E54" s="34">
        <v>68.849999999999994</v>
      </c>
    </row>
    <row r="55" spans="1:39" x14ac:dyDescent="0.3">
      <c r="A55" s="21" t="s">
        <v>88</v>
      </c>
      <c r="B55" s="35">
        <v>66.17</v>
      </c>
      <c r="C55" s="35">
        <v>66.98</v>
      </c>
      <c r="D55" s="35">
        <v>67.75</v>
      </c>
      <c r="E55" s="35">
        <v>68.39</v>
      </c>
    </row>
    <row r="56" spans="1:39" ht="15" thickBot="1" x14ac:dyDescent="0.35"/>
    <row r="57" spans="1:39" ht="15" thickBot="1" x14ac:dyDescent="0.35">
      <c r="A57" s="76" t="s">
        <v>114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</row>
    <row r="58" spans="1:39" ht="15" thickBot="1" x14ac:dyDescent="0.35">
      <c r="A58" s="14" t="s">
        <v>19</v>
      </c>
      <c r="B58" s="15">
        <v>45261</v>
      </c>
      <c r="C58" s="15">
        <v>45292</v>
      </c>
      <c r="D58" s="15">
        <v>45323</v>
      </c>
      <c r="E58" s="15">
        <v>45352</v>
      </c>
      <c r="F58" s="15">
        <v>45383</v>
      </c>
      <c r="G58" s="15">
        <v>45413</v>
      </c>
      <c r="H58" s="15">
        <v>45444</v>
      </c>
      <c r="I58" s="15">
        <v>45474</v>
      </c>
      <c r="J58" s="15">
        <v>45505</v>
      </c>
      <c r="K58" s="15">
        <v>45536</v>
      </c>
      <c r="L58" s="15">
        <v>45566</v>
      </c>
      <c r="M58" s="15">
        <v>45597</v>
      </c>
      <c r="N58" s="16">
        <v>45627</v>
      </c>
      <c r="O58" s="17">
        <v>45658</v>
      </c>
      <c r="P58" s="18">
        <v>45689</v>
      </c>
      <c r="Q58" s="15">
        <v>45717</v>
      </c>
      <c r="R58" s="15">
        <v>45748</v>
      </c>
      <c r="S58" s="15">
        <v>45778</v>
      </c>
      <c r="T58" s="15">
        <v>45809</v>
      </c>
      <c r="U58" s="15">
        <v>45839</v>
      </c>
      <c r="V58" s="15">
        <v>45870</v>
      </c>
      <c r="W58" s="15">
        <v>45901</v>
      </c>
      <c r="X58" s="15">
        <v>45931</v>
      </c>
      <c r="Y58" s="15">
        <v>45962</v>
      </c>
      <c r="Z58" s="15">
        <v>45992</v>
      </c>
      <c r="AA58" s="15">
        <v>46023</v>
      </c>
      <c r="AB58" s="15">
        <v>46054</v>
      </c>
      <c r="AC58" s="15">
        <v>46082</v>
      </c>
      <c r="AD58" s="15">
        <v>46113</v>
      </c>
      <c r="AE58" s="15">
        <v>46143</v>
      </c>
      <c r="AF58" s="15">
        <v>46174</v>
      </c>
      <c r="AG58" s="15">
        <v>46204</v>
      </c>
      <c r="AH58" s="15">
        <v>46235</v>
      </c>
      <c r="AI58" s="15">
        <v>46266</v>
      </c>
      <c r="AJ58" s="15">
        <v>46296</v>
      </c>
      <c r="AK58" s="15">
        <v>46327</v>
      </c>
      <c r="AL58" s="15">
        <v>46357</v>
      </c>
    </row>
    <row r="59" spans="1:39" s="19" customFormat="1" x14ac:dyDescent="0.3">
      <c r="A59" s="20" t="s">
        <v>89</v>
      </c>
      <c r="B59" s="34">
        <v>0.1</v>
      </c>
      <c r="C59" s="34">
        <v>0.45</v>
      </c>
      <c r="D59" s="34">
        <v>1.1499999999999999</v>
      </c>
      <c r="E59" s="34">
        <v>1.27</v>
      </c>
      <c r="F59" s="34">
        <v>0.9</v>
      </c>
      <c r="G59" s="34">
        <v>0.81</v>
      </c>
      <c r="H59" s="34">
        <v>0.15</v>
      </c>
      <c r="I59" s="34">
        <v>0.54</v>
      </c>
      <c r="J59" s="34">
        <v>1.45</v>
      </c>
      <c r="K59" s="34">
        <v>1.78</v>
      </c>
      <c r="L59" s="34">
        <v>1.52</v>
      </c>
      <c r="M59" s="34">
        <v>1.46</v>
      </c>
      <c r="N59" s="34">
        <v>1.9</v>
      </c>
      <c r="O59" s="34">
        <v>1.76</v>
      </c>
      <c r="P59" s="34">
        <v>0.99</v>
      </c>
      <c r="Q59" s="34">
        <v>1.1399999999999999</v>
      </c>
      <c r="R59" s="34">
        <v>1.99</v>
      </c>
      <c r="S59" s="34">
        <v>2.0699999999999998</v>
      </c>
      <c r="T59" s="34">
        <v>2.13</v>
      </c>
      <c r="U59" s="34">
        <v>2.8</v>
      </c>
      <c r="V59" s="34">
        <v>3.66</v>
      </c>
      <c r="W59" s="34">
        <v>6.5</v>
      </c>
      <c r="X59" s="34">
        <v>8.09</v>
      </c>
      <c r="Y59" s="34">
        <v>5.47</v>
      </c>
      <c r="Z59" s="34">
        <v>5.09</v>
      </c>
      <c r="AA59" s="34">
        <v>7.16</v>
      </c>
      <c r="AB59" s="34">
        <v>6.29</v>
      </c>
      <c r="AC59" s="34">
        <v>7.34</v>
      </c>
      <c r="AD59" s="34">
        <v>7.36</v>
      </c>
      <c r="AE59" s="34">
        <v>8.4700000000000006</v>
      </c>
      <c r="AF59" s="34">
        <v>4.95</v>
      </c>
      <c r="AG59" s="34">
        <v>7.41</v>
      </c>
      <c r="AH59" s="34">
        <v>6.64</v>
      </c>
      <c r="AI59" s="34">
        <v>6.99</v>
      </c>
      <c r="AJ59" s="34">
        <v>4.76</v>
      </c>
      <c r="AK59" s="34">
        <v>3.21</v>
      </c>
      <c r="AL59" s="34">
        <v>1.78</v>
      </c>
    </row>
    <row r="60" spans="1:39" s="19" customFormat="1" x14ac:dyDescent="0.3">
      <c r="A60" s="21" t="s">
        <v>90</v>
      </c>
      <c r="B60" s="35">
        <v>0.11</v>
      </c>
      <c r="C60" s="35">
        <v>0.35</v>
      </c>
      <c r="D60" s="35">
        <v>0.95</v>
      </c>
      <c r="E60" s="35">
        <v>1.32</v>
      </c>
      <c r="F60" s="35">
        <v>1.1499999999999999</v>
      </c>
      <c r="G60" s="35">
        <v>1.33</v>
      </c>
      <c r="H60" s="35">
        <v>1.23</v>
      </c>
      <c r="I60" s="35">
        <v>0.64</v>
      </c>
      <c r="J60" s="35">
        <v>1.04</v>
      </c>
      <c r="K60" s="35">
        <v>1.1299999999999999</v>
      </c>
      <c r="L60" s="35">
        <v>1.24</v>
      </c>
      <c r="M60" s="35">
        <v>0.38</v>
      </c>
      <c r="N60" s="36">
        <v>0.7</v>
      </c>
      <c r="O60" s="37">
        <v>0.4</v>
      </c>
      <c r="P60" s="37">
        <v>1.57</v>
      </c>
      <c r="Q60" s="37">
        <v>1.49</v>
      </c>
      <c r="R60" s="37">
        <v>2.5</v>
      </c>
      <c r="S60" s="37">
        <f>0.0169*100</f>
        <v>1.69</v>
      </c>
      <c r="T60" s="37">
        <f>0.014*100</f>
        <v>1.4000000000000001</v>
      </c>
      <c r="U60" s="37">
        <f>0.0161*100</f>
        <v>1.6099999999999999</v>
      </c>
      <c r="V60" s="37">
        <f>0.0217*100</f>
        <v>2.17</v>
      </c>
      <c r="W60" s="37">
        <f>0.061*100</f>
        <v>6.1</v>
      </c>
      <c r="X60" s="37">
        <v>4.1399999999999997</v>
      </c>
      <c r="Y60" s="37">
        <v>6.2</v>
      </c>
      <c r="Z60" s="37">
        <v>4.55</v>
      </c>
      <c r="AA60" s="37">
        <f>0.0575*100</f>
        <v>5.75</v>
      </c>
      <c r="AB60" s="37">
        <f>0.0589*100</f>
        <v>5.89</v>
      </c>
      <c r="AC60" s="37">
        <f>0.0507*100</f>
        <v>5.07</v>
      </c>
      <c r="AD60" s="37">
        <f>0.0233*100</f>
        <v>2.33</v>
      </c>
      <c r="AE60" s="37">
        <v>2.63</v>
      </c>
      <c r="AF60" s="37">
        <v>3.35</v>
      </c>
      <c r="AG60" s="35"/>
      <c r="AH60" s="35"/>
      <c r="AI60" s="35"/>
      <c r="AJ60" s="35"/>
      <c r="AK60" s="35"/>
      <c r="AL60" s="35"/>
    </row>
    <row r="61" spans="1:39" s="19" customFormat="1" x14ac:dyDescent="0.3">
      <c r="A61" s="20" t="s">
        <v>86</v>
      </c>
      <c r="B61" s="34">
        <f>B59</f>
        <v>0.1</v>
      </c>
      <c r="C61" s="34">
        <f>C59+B61</f>
        <v>0.55000000000000004</v>
      </c>
      <c r="D61" s="34">
        <f t="shared" ref="D61:AL61" si="0">D59+C61</f>
        <v>1.7</v>
      </c>
      <c r="E61" s="34">
        <v>3.01</v>
      </c>
      <c r="F61" s="34">
        <v>3.9</v>
      </c>
      <c r="G61" s="34">
        <f t="shared" si="0"/>
        <v>4.71</v>
      </c>
      <c r="H61" s="34">
        <f t="shared" si="0"/>
        <v>4.8600000000000003</v>
      </c>
      <c r="I61" s="34">
        <v>6.96</v>
      </c>
      <c r="J61" s="34">
        <v>8.41</v>
      </c>
      <c r="K61" s="34">
        <f t="shared" si="0"/>
        <v>10.19</v>
      </c>
      <c r="L61" s="34">
        <f t="shared" si="0"/>
        <v>11.709999999999999</v>
      </c>
      <c r="M61" s="34">
        <f t="shared" si="0"/>
        <v>13.169999999999998</v>
      </c>
      <c r="N61" s="34">
        <f t="shared" si="0"/>
        <v>15.069999999999999</v>
      </c>
      <c r="O61" s="34">
        <f t="shared" si="0"/>
        <v>16.829999999999998</v>
      </c>
      <c r="P61" s="34">
        <v>11.59</v>
      </c>
      <c r="Q61" s="34">
        <v>12.73</v>
      </c>
      <c r="R61" s="34">
        <v>15.41</v>
      </c>
      <c r="S61" s="34">
        <f t="shared" si="0"/>
        <v>17.48</v>
      </c>
      <c r="T61" s="34">
        <f t="shared" si="0"/>
        <v>19.61</v>
      </c>
      <c r="U61" s="34">
        <f t="shared" si="0"/>
        <v>22.41</v>
      </c>
      <c r="V61" s="34">
        <f t="shared" si="0"/>
        <v>26.07</v>
      </c>
      <c r="W61" s="34">
        <f t="shared" si="0"/>
        <v>32.57</v>
      </c>
      <c r="X61" s="34">
        <v>40.65</v>
      </c>
      <c r="Y61" s="34">
        <v>38.56</v>
      </c>
      <c r="Z61" s="34">
        <v>43.65</v>
      </c>
      <c r="AA61" s="34">
        <v>50.82</v>
      </c>
      <c r="AB61" s="34">
        <v>57.1</v>
      </c>
      <c r="AC61" s="34">
        <v>64.44</v>
      </c>
      <c r="AD61" s="34">
        <v>71.81</v>
      </c>
      <c r="AE61" s="34">
        <v>80.28</v>
      </c>
      <c r="AF61" s="34">
        <v>69.209999999999994</v>
      </c>
      <c r="AG61" s="34">
        <v>76.62</v>
      </c>
      <c r="AH61" s="34">
        <v>83.26</v>
      </c>
      <c r="AI61" s="34">
        <v>90.25</v>
      </c>
      <c r="AJ61" s="34">
        <f t="shared" si="0"/>
        <v>95.01</v>
      </c>
      <c r="AK61" s="34">
        <f t="shared" si="0"/>
        <v>98.22</v>
      </c>
      <c r="AL61" s="34">
        <f t="shared" si="0"/>
        <v>100</v>
      </c>
    </row>
    <row r="62" spans="1:39" s="19" customFormat="1" x14ac:dyDescent="0.3">
      <c r="A62" s="21" t="s">
        <v>88</v>
      </c>
      <c r="B62" s="35">
        <f>B60</f>
        <v>0.11</v>
      </c>
      <c r="C62" s="35">
        <f>C60+B62</f>
        <v>0.45999999999999996</v>
      </c>
      <c r="D62" s="35">
        <f t="shared" ref="D62:AE62" si="1">D60+C62</f>
        <v>1.41</v>
      </c>
      <c r="E62" s="35">
        <f t="shared" si="1"/>
        <v>2.73</v>
      </c>
      <c r="F62" s="35">
        <f t="shared" si="1"/>
        <v>3.88</v>
      </c>
      <c r="G62" s="35">
        <f t="shared" si="1"/>
        <v>5.21</v>
      </c>
      <c r="H62" s="35">
        <f t="shared" si="1"/>
        <v>6.4399999999999995</v>
      </c>
      <c r="I62" s="35">
        <f t="shared" si="1"/>
        <v>7.0799999999999992</v>
      </c>
      <c r="J62" s="35">
        <f t="shared" si="1"/>
        <v>8.1199999999999992</v>
      </c>
      <c r="K62" s="35">
        <f t="shared" si="1"/>
        <v>9.25</v>
      </c>
      <c r="L62" s="35">
        <f t="shared" si="1"/>
        <v>10.49</v>
      </c>
      <c r="M62" s="35">
        <f t="shared" si="1"/>
        <v>10.870000000000001</v>
      </c>
      <c r="N62" s="35">
        <f t="shared" si="1"/>
        <v>11.57</v>
      </c>
      <c r="O62" s="35">
        <f t="shared" si="1"/>
        <v>11.97</v>
      </c>
      <c r="P62" s="35">
        <v>12.18</v>
      </c>
      <c r="Q62" s="35">
        <f t="shared" si="1"/>
        <v>13.67</v>
      </c>
      <c r="R62" s="35">
        <v>15.92</v>
      </c>
      <c r="S62" s="35">
        <f t="shared" si="1"/>
        <v>17.61</v>
      </c>
      <c r="T62" s="35">
        <f t="shared" si="1"/>
        <v>19.009999999999998</v>
      </c>
      <c r="U62" s="35">
        <f t="shared" si="1"/>
        <v>20.619999999999997</v>
      </c>
      <c r="V62" s="35">
        <f t="shared" si="1"/>
        <v>22.79</v>
      </c>
      <c r="W62" s="35">
        <f t="shared" si="1"/>
        <v>28.89</v>
      </c>
      <c r="X62" s="35">
        <f t="shared" si="1"/>
        <v>33.03</v>
      </c>
      <c r="Y62" s="35">
        <f t="shared" si="1"/>
        <v>39.230000000000004</v>
      </c>
      <c r="Z62" s="35">
        <f t="shared" si="1"/>
        <v>43.78</v>
      </c>
      <c r="AA62" s="35">
        <f t="shared" si="1"/>
        <v>49.53</v>
      </c>
      <c r="AB62" s="35">
        <f t="shared" si="1"/>
        <v>55.42</v>
      </c>
      <c r="AC62" s="35">
        <f t="shared" si="1"/>
        <v>60.49</v>
      </c>
      <c r="AD62" s="35">
        <f t="shared" si="1"/>
        <v>62.82</v>
      </c>
      <c r="AE62" s="35">
        <f t="shared" si="1"/>
        <v>65.45</v>
      </c>
      <c r="AF62" s="35">
        <v>68.8</v>
      </c>
      <c r="AG62" s="35"/>
      <c r="AH62" s="35"/>
      <c r="AI62" s="35"/>
      <c r="AJ62" s="35"/>
      <c r="AK62" s="35"/>
      <c r="AL62" s="35"/>
    </row>
    <row r="63" spans="1:39" ht="15" thickBot="1" x14ac:dyDescent="0.35"/>
    <row r="64" spans="1:39" ht="15" thickBot="1" x14ac:dyDescent="0.35">
      <c r="A64" s="75" t="s">
        <v>115</v>
      </c>
      <c r="B64" s="75"/>
      <c r="C64" s="75"/>
      <c r="D64"/>
      <c r="E64"/>
      <c r="F64"/>
      <c r="G64"/>
    </row>
    <row r="65" spans="1:7" x14ac:dyDescent="0.3">
      <c r="A65" s="4" t="s">
        <v>84</v>
      </c>
      <c r="B65" s="4" t="s">
        <v>8</v>
      </c>
      <c r="C65" s="4" t="s">
        <v>9</v>
      </c>
      <c r="D65"/>
      <c r="E65"/>
      <c r="F65"/>
      <c r="G65"/>
    </row>
    <row r="66" spans="1:7" ht="15" x14ac:dyDescent="0.3">
      <c r="A66" s="5" t="s">
        <v>20</v>
      </c>
      <c r="B66" s="38">
        <f>1*100</f>
        <v>100</v>
      </c>
      <c r="C66" s="38">
        <f>1*100</f>
        <v>100</v>
      </c>
      <c r="D66"/>
      <c r="E66"/>
      <c r="F66"/>
      <c r="G66"/>
    </row>
    <row r="67" spans="1:7" ht="15" x14ac:dyDescent="0.3">
      <c r="A67" s="5" t="s">
        <v>21</v>
      </c>
      <c r="B67" s="38">
        <f>1*100</f>
        <v>100</v>
      </c>
      <c r="C67" s="38">
        <f>0.9154*100</f>
        <v>91.539999999999992</v>
      </c>
      <c r="D67"/>
      <c r="E67"/>
      <c r="F67"/>
      <c r="G67"/>
    </row>
    <row r="68" spans="1:7" ht="15" x14ac:dyDescent="0.3">
      <c r="A68" s="5" t="s">
        <v>22</v>
      </c>
      <c r="B68" s="38">
        <f>0.9748*100</f>
        <v>97.48</v>
      </c>
      <c r="C68" s="38">
        <f>0.7654*100</f>
        <v>76.539999999999992</v>
      </c>
      <c r="D68"/>
      <c r="E68"/>
      <c r="F68"/>
      <c r="G68"/>
    </row>
    <row r="69" spans="1:7" ht="15" x14ac:dyDescent="0.3">
      <c r="A69" s="5" t="s">
        <v>23</v>
      </c>
      <c r="B69" s="38">
        <f>0.9544*100</f>
        <v>95.44</v>
      </c>
      <c r="C69" s="38">
        <f>0.689*100</f>
        <v>68.899999999999991</v>
      </c>
      <c r="D69"/>
      <c r="E69"/>
      <c r="F69"/>
      <c r="G69"/>
    </row>
    <row r="70" spans="1:7" ht="15" x14ac:dyDescent="0.3">
      <c r="A70" s="5" t="s">
        <v>24</v>
      </c>
      <c r="B70" s="38">
        <f>0.9111*100</f>
        <v>91.11</v>
      </c>
      <c r="C70" s="38">
        <f>0.719*100</f>
        <v>71.899999999999991</v>
      </c>
      <c r="D70"/>
      <c r="E70"/>
      <c r="F70"/>
      <c r="G70"/>
    </row>
    <row r="71" spans="1:7" ht="15" x14ac:dyDescent="0.3">
      <c r="A71" s="5" t="s">
        <v>25</v>
      </c>
      <c r="B71" s="38">
        <f>0.6432*100</f>
        <v>64.319999999999993</v>
      </c>
      <c r="C71" s="38">
        <f>0.4128*100</f>
        <v>41.28</v>
      </c>
      <c r="D71"/>
      <c r="E71"/>
      <c r="F71"/>
      <c r="G71"/>
    </row>
    <row r="72" spans="1:7" ht="15" x14ac:dyDescent="0.3">
      <c r="A72" s="5" t="s">
        <v>26</v>
      </c>
      <c r="B72" s="38">
        <f>1*100</f>
        <v>100</v>
      </c>
      <c r="C72" s="38">
        <f>0.7647*100</f>
        <v>76.47</v>
      </c>
      <c r="D72"/>
      <c r="E72"/>
      <c r="F72"/>
      <c r="G72"/>
    </row>
    <row r="73" spans="1:7" ht="15" x14ac:dyDescent="0.3">
      <c r="A73" s="5" t="s">
        <v>27</v>
      </c>
      <c r="B73" s="38">
        <f>1*100</f>
        <v>100</v>
      </c>
      <c r="C73" s="38">
        <f>0.802*100</f>
        <v>80.2</v>
      </c>
      <c r="D73"/>
      <c r="E73"/>
      <c r="F73"/>
      <c r="G73"/>
    </row>
    <row r="74" spans="1:7" ht="15" x14ac:dyDescent="0.3">
      <c r="A74" s="5" t="s">
        <v>28</v>
      </c>
      <c r="B74" s="38">
        <f>0.8772*100</f>
        <v>87.72</v>
      </c>
      <c r="C74" s="38">
        <f>0.7739*100</f>
        <v>77.39</v>
      </c>
      <c r="D74"/>
      <c r="E74"/>
      <c r="F74"/>
      <c r="G74"/>
    </row>
    <row r="75" spans="1:7" ht="15" x14ac:dyDescent="0.3">
      <c r="A75" s="5" t="s">
        <v>29</v>
      </c>
      <c r="B75" s="38">
        <f>0.8159*100</f>
        <v>81.589999999999989</v>
      </c>
      <c r="C75" s="38">
        <f>0.502*100</f>
        <v>50.2</v>
      </c>
      <c r="D75"/>
      <c r="E75"/>
      <c r="F75"/>
      <c r="G75"/>
    </row>
    <row r="76" spans="1:7" ht="15" x14ac:dyDescent="0.3">
      <c r="A76" s="5" t="s">
        <v>30</v>
      </c>
      <c r="B76" s="38">
        <f>0.9062*100</f>
        <v>90.62</v>
      </c>
      <c r="C76" s="38">
        <f>0.9628*100</f>
        <v>96.28</v>
      </c>
      <c r="D76"/>
      <c r="E76"/>
      <c r="F76"/>
      <c r="G76"/>
    </row>
    <row r="77" spans="1:7" ht="15" x14ac:dyDescent="0.3">
      <c r="A77" s="5" t="s">
        <v>31</v>
      </c>
      <c r="B77" s="38">
        <f>0.891*100</f>
        <v>89.1</v>
      </c>
      <c r="C77" s="38">
        <f>0.775*100</f>
        <v>77.5</v>
      </c>
      <c r="D77"/>
      <c r="E77"/>
      <c r="F77"/>
      <c r="G77"/>
    </row>
    <row r="78" spans="1:7" ht="15" x14ac:dyDescent="0.3">
      <c r="A78" s="5" t="s">
        <v>32</v>
      </c>
      <c r="B78" s="38">
        <f>0.891*100</f>
        <v>89.1</v>
      </c>
      <c r="C78" s="38">
        <f>0.7483*100</f>
        <v>74.83</v>
      </c>
      <c r="D78"/>
      <c r="E78"/>
      <c r="F78"/>
      <c r="G78"/>
    </row>
    <row r="79" spans="1:7" ht="15" x14ac:dyDescent="0.3">
      <c r="A79" s="5" t="s">
        <v>33</v>
      </c>
      <c r="B79" s="38">
        <f>0.891*100</f>
        <v>89.1</v>
      </c>
      <c r="C79" s="38">
        <f>0.6517*100</f>
        <v>65.169999999999987</v>
      </c>
      <c r="D79"/>
      <c r="E79"/>
      <c r="F79"/>
      <c r="G79"/>
    </row>
    <row r="80" spans="1:7" ht="15" x14ac:dyDescent="0.3">
      <c r="A80" s="5" t="s">
        <v>34</v>
      </c>
      <c r="B80" s="38">
        <f>0.891*100</f>
        <v>89.1</v>
      </c>
      <c r="C80" s="38">
        <f>0.648*100</f>
        <v>64.8</v>
      </c>
      <c r="D80"/>
      <c r="E80"/>
      <c r="F80"/>
      <c r="G80"/>
    </row>
    <row r="81" spans="1:7" ht="15" x14ac:dyDescent="0.3">
      <c r="A81" s="5" t="s">
        <v>35</v>
      </c>
      <c r="B81" s="38">
        <f>0.891*100</f>
        <v>89.1</v>
      </c>
      <c r="C81" s="38">
        <f>0.6458*100</f>
        <v>64.58</v>
      </c>
      <c r="D81"/>
      <c r="E81"/>
      <c r="F81"/>
      <c r="G81"/>
    </row>
    <row r="82" spans="1:7" ht="15" x14ac:dyDescent="0.3">
      <c r="A82" s="5" t="s">
        <v>36</v>
      </c>
      <c r="B82" s="38">
        <f>0.9892*100</f>
        <v>98.92</v>
      </c>
      <c r="C82" s="38">
        <f>0.64*100</f>
        <v>64</v>
      </c>
      <c r="D82"/>
      <c r="E82"/>
      <c r="F82"/>
      <c r="G82"/>
    </row>
    <row r="83" spans="1:7" ht="15" x14ac:dyDescent="0.3">
      <c r="A83" s="5" t="s">
        <v>37</v>
      </c>
      <c r="B83" s="38">
        <f>0.9892*100</f>
        <v>98.92</v>
      </c>
      <c r="C83" s="38">
        <f>0.6333*100</f>
        <v>63.33</v>
      </c>
      <c r="D83"/>
      <c r="E83"/>
      <c r="F83"/>
      <c r="G83"/>
    </row>
    <row r="84" spans="1:7" ht="15" x14ac:dyDescent="0.3">
      <c r="A84" s="5" t="s">
        <v>38</v>
      </c>
      <c r="B84" s="38">
        <f>0.9892*100</f>
        <v>98.92</v>
      </c>
      <c r="C84" s="38">
        <f>0.6236*100</f>
        <v>62.360000000000007</v>
      </c>
      <c r="D84"/>
      <c r="E84"/>
      <c r="F84"/>
      <c r="G84"/>
    </row>
    <row r="85" spans="1:7" ht="15" x14ac:dyDescent="0.3">
      <c r="A85" s="5" t="s">
        <v>39</v>
      </c>
      <c r="B85" s="38">
        <f>0.9892*100</f>
        <v>98.92</v>
      </c>
      <c r="C85" s="38">
        <f>0.5811*100</f>
        <v>58.109999999999992</v>
      </c>
      <c r="D85"/>
      <c r="E85"/>
      <c r="F85"/>
      <c r="G85"/>
    </row>
    <row r="86" spans="1:7" ht="15" x14ac:dyDescent="0.3">
      <c r="A86" s="5" t="s">
        <v>40</v>
      </c>
      <c r="B86" s="38">
        <f>0.9892*100</f>
        <v>98.92</v>
      </c>
      <c r="C86" s="38">
        <f>0.5667*100</f>
        <v>56.67</v>
      </c>
      <c r="D86"/>
      <c r="E86"/>
      <c r="F86"/>
      <c r="G86"/>
    </row>
    <row r="87" spans="1:7" ht="15" x14ac:dyDescent="0.3">
      <c r="A87" s="5" t="s">
        <v>41</v>
      </c>
      <c r="B87" s="38">
        <f>0.9403*100</f>
        <v>94.03</v>
      </c>
      <c r="C87" s="38">
        <f>0.526*100</f>
        <v>52.6</v>
      </c>
      <c r="D87"/>
      <c r="E87"/>
      <c r="F87"/>
      <c r="G87"/>
    </row>
    <row r="88" spans="1:7" ht="15" x14ac:dyDescent="0.3">
      <c r="A88" s="5" t="s">
        <v>42</v>
      </c>
      <c r="B88" s="38">
        <f>0.884*100</f>
        <v>88.4</v>
      </c>
      <c r="C88" s="38">
        <f>0.5546*100</f>
        <v>55.46</v>
      </c>
      <c r="D88"/>
      <c r="E88"/>
      <c r="F88"/>
      <c r="G88"/>
    </row>
    <row r="89" spans="1:7" ht="15" x14ac:dyDescent="0.3">
      <c r="A89" s="5" t="s">
        <v>43</v>
      </c>
      <c r="B89" s="38">
        <f>0.7755*100</f>
        <v>77.55</v>
      </c>
      <c r="C89" s="38">
        <f>0.5283*100</f>
        <v>52.83</v>
      </c>
      <c r="D89"/>
      <c r="E89"/>
      <c r="F89"/>
      <c r="G89"/>
    </row>
    <row r="90" spans="1:7" ht="15" x14ac:dyDescent="0.3">
      <c r="A90" s="5" t="s">
        <v>44</v>
      </c>
      <c r="B90" s="38">
        <f>0.725*100</f>
        <v>72.5</v>
      </c>
      <c r="C90" s="38">
        <f>0.526*100</f>
        <v>52.6</v>
      </c>
      <c r="D90"/>
      <c r="E90"/>
      <c r="F90"/>
      <c r="G90"/>
    </row>
    <row r="91" spans="1:7" ht="15" x14ac:dyDescent="0.3">
      <c r="A91" s="5" t="s">
        <v>45</v>
      </c>
      <c r="B91" s="38">
        <f>0.5971*100</f>
        <v>59.709999999999994</v>
      </c>
      <c r="C91" s="38">
        <f>0.5064*100</f>
        <v>50.639999999999993</v>
      </c>
      <c r="D91"/>
      <c r="E91"/>
      <c r="F91"/>
      <c r="G91"/>
    </row>
    <row r="92" spans="1:7" ht="15" x14ac:dyDescent="0.3">
      <c r="A92" s="5" t="s">
        <v>46</v>
      </c>
      <c r="B92" s="38">
        <f>0.5332*100</f>
        <v>53.32</v>
      </c>
      <c r="C92" s="38">
        <f>0.4972*100</f>
        <v>49.72</v>
      </c>
      <c r="D92"/>
      <c r="E92"/>
      <c r="F92"/>
      <c r="G92"/>
    </row>
    <row r="93" spans="1:7" ht="15" x14ac:dyDescent="0.3">
      <c r="A93" s="5" t="s">
        <v>47</v>
      </c>
      <c r="B93" s="38">
        <f>0.6173*100</f>
        <v>61.73</v>
      </c>
      <c r="C93" s="38">
        <f>0.6349*100</f>
        <v>63.49</v>
      </c>
      <c r="D93"/>
      <c r="E93"/>
      <c r="F93"/>
      <c r="G93"/>
    </row>
    <row r="94" spans="1:7" ht="15" x14ac:dyDescent="0.3">
      <c r="A94" s="5" t="s">
        <v>48</v>
      </c>
      <c r="B94" s="38">
        <f>0.695*100</f>
        <v>69.5</v>
      </c>
      <c r="C94" s="38">
        <f>0.6542*100</f>
        <v>65.42</v>
      </c>
      <c r="D94"/>
      <c r="E94"/>
      <c r="F94"/>
      <c r="G94"/>
    </row>
    <row r="95" spans="1:7" ht="15" x14ac:dyDescent="0.3">
      <c r="A95" s="5" t="s">
        <v>49</v>
      </c>
      <c r="B95" s="38">
        <f>0.6363*100</f>
        <v>63.629999999999995</v>
      </c>
      <c r="C95" s="38">
        <f>0.573*100</f>
        <v>57.3</v>
      </c>
      <c r="D95"/>
      <c r="E95"/>
      <c r="F95"/>
      <c r="G95"/>
    </row>
    <row r="96" spans="1:7" ht="15" x14ac:dyDescent="0.3">
      <c r="A96" s="5" t="s">
        <v>50</v>
      </c>
      <c r="B96" s="38">
        <f>0.5412*100</f>
        <v>54.120000000000005</v>
      </c>
      <c r="C96" s="38">
        <f>0.5569*100</f>
        <v>55.69</v>
      </c>
      <c r="D96"/>
      <c r="E96"/>
      <c r="F96"/>
      <c r="G96"/>
    </row>
    <row r="97" spans="1:7" ht="15" x14ac:dyDescent="0.3">
      <c r="A97" s="5" t="s">
        <v>51</v>
      </c>
      <c r="B97" s="38">
        <f>0.5346*100</f>
        <v>53.459999999999994</v>
      </c>
      <c r="C97" s="38">
        <f>0.4322*100</f>
        <v>43.22</v>
      </c>
      <c r="D97"/>
      <c r="E97"/>
      <c r="F97"/>
      <c r="G97"/>
    </row>
    <row r="98" spans="1:7" ht="15" x14ac:dyDescent="0.3">
      <c r="A98" s="5" t="s">
        <v>52</v>
      </c>
      <c r="B98" s="38">
        <f>0.5437*100</f>
        <v>54.37</v>
      </c>
      <c r="C98" s="38">
        <f>0.5002*100</f>
        <v>50.019999999999996</v>
      </c>
      <c r="D98"/>
      <c r="E98"/>
      <c r="F98"/>
      <c r="G98"/>
    </row>
    <row r="99" spans="1:7" ht="15" x14ac:dyDescent="0.3">
      <c r="A99" s="5" t="s">
        <v>53</v>
      </c>
      <c r="B99" s="38">
        <f>0.6422*100</f>
        <v>64.22</v>
      </c>
      <c r="C99" s="38">
        <f>0.621*100</f>
        <v>62.1</v>
      </c>
      <c r="D99"/>
      <c r="E99"/>
      <c r="F99"/>
      <c r="G99"/>
    </row>
    <row r="100" spans="1:7" ht="15" x14ac:dyDescent="0.3">
      <c r="A100" s="5" t="s">
        <v>54</v>
      </c>
      <c r="B100" s="38">
        <f>0.2969*100</f>
        <v>29.69</v>
      </c>
      <c r="C100" s="38">
        <f>0.2785*100</f>
        <v>27.85</v>
      </c>
      <c r="D100"/>
      <c r="E100"/>
      <c r="F100"/>
      <c r="G100"/>
    </row>
    <row r="101" spans="1:7" ht="15" x14ac:dyDescent="0.3">
      <c r="A101" s="5" t="s">
        <v>55</v>
      </c>
      <c r="B101" s="38">
        <f>0.3278*100</f>
        <v>32.78</v>
      </c>
      <c r="C101" s="38">
        <f>0.3046*100</f>
        <v>30.459999999999997</v>
      </c>
      <c r="D101"/>
      <c r="E101"/>
      <c r="F101"/>
      <c r="G101"/>
    </row>
    <row r="102" spans="1:7" ht="15" x14ac:dyDescent="0.3">
      <c r="A102" s="5" t="s">
        <v>56</v>
      </c>
      <c r="B102" s="38">
        <f>0.9675*100</f>
        <v>96.75</v>
      </c>
      <c r="C102" s="38">
        <f>0.498*100</f>
        <v>49.8</v>
      </c>
      <c r="D102"/>
      <c r="E102"/>
      <c r="F102"/>
      <c r="G102"/>
    </row>
    <row r="103" spans="1:7" ht="15" x14ac:dyDescent="0.3">
      <c r="A103" s="5" t="s">
        <v>57</v>
      </c>
      <c r="B103" s="38">
        <f>0.8253*100</f>
        <v>82.53</v>
      </c>
      <c r="C103" s="38">
        <f>0.7*100</f>
        <v>70</v>
      </c>
      <c r="D103"/>
      <c r="E103"/>
      <c r="F103"/>
      <c r="G103"/>
    </row>
  </sheetData>
  <mergeCells count="14">
    <mergeCell ref="A29:B29"/>
    <mergeCell ref="A1:D1"/>
    <mergeCell ref="A57:AM57"/>
    <mergeCell ref="A64:C64"/>
    <mergeCell ref="A50:E50"/>
    <mergeCell ref="A31:D31"/>
    <mergeCell ref="A2:B2"/>
    <mergeCell ref="E31:J31"/>
    <mergeCell ref="A6:D6"/>
    <mergeCell ref="A11:D11"/>
    <mergeCell ref="A7:D7"/>
    <mergeCell ref="A3:A4"/>
    <mergeCell ref="A22:D22"/>
    <mergeCell ref="A18:D1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1B02-CB03-41AC-9832-46A27CAEC023}">
  <dimension ref="A1:AQ98"/>
  <sheetViews>
    <sheetView topLeftCell="A49" zoomScale="80" zoomScaleNormal="80" workbookViewId="0">
      <selection activeCell="D101" sqref="D101"/>
    </sheetView>
  </sheetViews>
  <sheetFormatPr defaultRowHeight="14.4" x14ac:dyDescent="0.3"/>
  <cols>
    <col min="1" max="1" width="25.77734375" customWidth="1"/>
    <col min="2" max="2" width="18.21875" customWidth="1"/>
    <col min="3" max="3" width="19" customWidth="1"/>
    <col min="4" max="5" width="15.6640625" style="6" customWidth="1"/>
    <col min="6" max="6" width="17.109375" style="6" customWidth="1"/>
    <col min="7" max="7" width="16.33203125" style="6" customWidth="1"/>
    <col min="8" max="14" width="15.77734375" customWidth="1"/>
  </cols>
  <sheetData>
    <row r="1" spans="1:8" ht="15" thickBot="1" x14ac:dyDescent="0.35">
      <c r="A1" s="80" t="s">
        <v>13</v>
      </c>
      <c r="B1" s="80"/>
      <c r="C1" s="80"/>
      <c r="D1" s="80"/>
      <c r="E1" s="44"/>
      <c r="F1" s="44"/>
      <c r="G1" s="44"/>
    </row>
    <row r="2" spans="1:8" ht="15" thickBot="1" x14ac:dyDescent="0.35">
      <c r="A2" s="81" t="s">
        <v>82</v>
      </c>
      <c r="B2" s="82"/>
      <c r="C2" s="39" t="s">
        <v>83</v>
      </c>
      <c r="D2" s="39" t="s">
        <v>12</v>
      </c>
      <c r="E2"/>
      <c r="F2"/>
      <c r="G2"/>
    </row>
    <row r="3" spans="1:8" x14ac:dyDescent="0.3">
      <c r="A3" s="83" t="s">
        <v>2</v>
      </c>
      <c r="B3" s="65" t="s">
        <v>10</v>
      </c>
      <c r="C3" s="66">
        <v>46439</v>
      </c>
      <c r="D3" s="65">
        <v>38</v>
      </c>
      <c r="E3" s="45"/>
      <c r="F3" s="45"/>
      <c r="G3"/>
    </row>
    <row r="4" spans="1:8" ht="15" thickBot="1" x14ac:dyDescent="0.35">
      <c r="A4" s="84"/>
      <c r="B4" s="69" t="s">
        <v>11</v>
      </c>
      <c r="C4" s="72">
        <v>46419</v>
      </c>
      <c r="D4" s="69">
        <v>38</v>
      </c>
      <c r="E4"/>
      <c r="F4"/>
      <c r="G4"/>
    </row>
    <row r="5" spans="1:8" ht="15" thickBot="1" x14ac:dyDescent="0.35">
      <c r="A5" s="2"/>
      <c r="B5" s="2"/>
      <c r="D5" s="7"/>
      <c r="E5" s="8"/>
      <c r="F5" s="7"/>
    </row>
    <row r="6" spans="1:8" ht="15" thickBot="1" x14ac:dyDescent="0.35">
      <c r="A6" s="85" t="s">
        <v>14</v>
      </c>
      <c r="B6" s="85"/>
      <c r="C6" s="85"/>
      <c r="D6" s="85"/>
      <c r="E6" s="8"/>
      <c r="F6" s="7"/>
    </row>
    <row r="7" spans="1:8" x14ac:dyDescent="0.3">
      <c r="A7" s="86" t="s">
        <v>3</v>
      </c>
      <c r="B7" s="86"/>
      <c r="C7" s="86"/>
      <c r="D7" s="86"/>
    </row>
    <row r="8" spans="1:8" x14ac:dyDescent="0.3">
      <c r="A8" s="9" t="s">
        <v>8</v>
      </c>
      <c r="B8" s="9" t="s">
        <v>9</v>
      </c>
      <c r="C8" s="9" t="s">
        <v>0</v>
      </c>
      <c r="D8" s="9" t="s">
        <v>1</v>
      </c>
    </row>
    <row r="9" spans="1:8" ht="15" thickBot="1" x14ac:dyDescent="0.35">
      <c r="A9" s="10">
        <v>50.01</v>
      </c>
      <c r="B9" s="10">
        <v>50.06</v>
      </c>
      <c r="C9" s="10">
        <f>B9-A9</f>
        <v>5.0000000000004263E-2</v>
      </c>
      <c r="D9" s="11">
        <v>0</v>
      </c>
    </row>
    <row r="10" spans="1:8" ht="15" thickBot="1" x14ac:dyDescent="0.35"/>
    <row r="11" spans="1:8" ht="15" thickBot="1" x14ac:dyDescent="0.35">
      <c r="A11" s="87" t="s">
        <v>15</v>
      </c>
      <c r="B11" s="87"/>
      <c r="C11" s="87"/>
      <c r="D11" s="87"/>
    </row>
    <row r="12" spans="1:8" x14ac:dyDescent="0.3">
      <c r="A12" s="40"/>
      <c r="B12" s="28" t="s">
        <v>2</v>
      </c>
      <c r="C12" s="32"/>
      <c r="D12" s="3"/>
      <c r="E12" s="28"/>
      <c r="F12" s="32"/>
      <c r="G12" s="28"/>
      <c r="H12" s="32"/>
    </row>
    <row r="13" spans="1:8" x14ac:dyDescent="0.3">
      <c r="A13" s="29" t="s">
        <v>4</v>
      </c>
      <c r="B13" s="31">
        <v>405481363.53998071</v>
      </c>
      <c r="C13" s="31"/>
      <c r="D13" s="3"/>
      <c r="E13" s="31"/>
      <c r="F13" s="31"/>
      <c r="G13" s="31"/>
      <c r="H13" s="31"/>
    </row>
    <row r="14" spans="1:8" x14ac:dyDescent="0.3">
      <c r="A14" s="29" t="s">
        <v>5</v>
      </c>
      <c r="B14" s="31">
        <v>241719693.50746062</v>
      </c>
      <c r="C14" s="46">
        <f>B14/B13</f>
        <v>0.59613021766813434</v>
      </c>
      <c r="D14" s="3"/>
      <c r="E14" s="31"/>
      <c r="F14" s="31"/>
      <c r="G14" s="31"/>
      <c r="H14" s="31"/>
    </row>
    <row r="15" spans="1:8" x14ac:dyDescent="0.3">
      <c r="A15" s="29" t="s">
        <v>6</v>
      </c>
      <c r="B15" s="31">
        <v>365628683.86081815</v>
      </c>
      <c r="C15" s="46">
        <f>B15/B13</f>
        <v>0.90171513844375961</v>
      </c>
      <c r="D15" s="3"/>
      <c r="E15" s="31"/>
      <c r="F15" s="31"/>
      <c r="G15" s="31"/>
      <c r="H15" s="31"/>
    </row>
    <row r="16" spans="1:8" x14ac:dyDescent="0.3">
      <c r="A16" s="29" t="s">
        <v>7</v>
      </c>
      <c r="B16" s="31">
        <v>39852679.679162562</v>
      </c>
      <c r="C16" s="1">
        <f>B16/B13</f>
        <v>9.8284861556240333E-2</v>
      </c>
      <c r="E16" s="1"/>
      <c r="F16" s="1"/>
      <c r="G16" s="1"/>
    </row>
    <row r="17" spans="1:10" ht="15" thickBot="1" x14ac:dyDescent="0.35">
      <c r="A17" s="29"/>
      <c r="B17" s="30"/>
      <c r="C17" s="30"/>
      <c r="D17" s="30"/>
      <c r="E17" s="33"/>
      <c r="F17" s="33"/>
      <c r="H17" s="1"/>
      <c r="I17" s="1"/>
      <c r="J17" s="1"/>
    </row>
    <row r="18" spans="1:10" ht="15" thickBot="1" x14ac:dyDescent="0.35">
      <c r="A18" s="88" t="s">
        <v>93</v>
      </c>
      <c r="B18" s="88"/>
      <c r="C18" s="88"/>
      <c r="D18" s="88"/>
      <c r="E18"/>
      <c r="F18"/>
      <c r="G18"/>
    </row>
    <row r="19" spans="1:10" x14ac:dyDescent="0.3">
      <c r="A19" s="6" t="s">
        <v>91</v>
      </c>
      <c r="B19" s="56">
        <v>90.17</v>
      </c>
      <c r="D19"/>
      <c r="E19"/>
      <c r="F19"/>
      <c r="G19"/>
    </row>
    <row r="20" spans="1:10" x14ac:dyDescent="0.3">
      <c r="A20" s="6" t="s">
        <v>92</v>
      </c>
      <c r="B20" s="56">
        <v>9.83</v>
      </c>
      <c r="D20"/>
      <c r="E20"/>
      <c r="F20"/>
      <c r="G20"/>
    </row>
    <row r="21" spans="1:10" ht="15" thickBot="1" x14ac:dyDescent="0.35">
      <c r="D21"/>
      <c r="E21"/>
      <c r="F21"/>
      <c r="G21"/>
    </row>
    <row r="22" spans="1:10" ht="15" thickBot="1" x14ac:dyDescent="0.35">
      <c r="A22" s="89" t="s">
        <v>94</v>
      </c>
      <c r="B22" s="89"/>
      <c r="C22" s="89"/>
      <c r="D22" s="89"/>
      <c r="E22"/>
      <c r="F22"/>
      <c r="G22"/>
    </row>
    <row r="23" spans="1:10" x14ac:dyDescent="0.3">
      <c r="A23" s="49" t="s">
        <v>95</v>
      </c>
      <c r="B23" s="50" t="s">
        <v>96</v>
      </c>
      <c r="C23" s="51" t="s">
        <v>97</v>
      </c>
      <c r="D23"/>
      <c r="E23"/>
      <c r="F23"/>
      <c r="G23"/>
    </row>
    <row r="24" spans="1:10" x14ac:dyDescent="0.3">
      <c r="A24" s="59" t="s">
        <v>116</v>
      </c>
      <c r="B24" s="52">
        <v>46208</v>
      </c>
      <c r="C24" s="63"/>
      <c r="D24"/>
      <c r="E24"/>
      <c r="F24"/>
      <c r="G24"/>
    </row>
    <row r="25" spans="1:10" x14ac:dyDescent="0.3">
      <c r="A25" s="57" t="s">
        <v>117</v>
      </c>
      <c r="B25" s="58">
        <v>46185</v>
      </c>
      <c r="C25" s="64"/>
      <c r="D25"/>
      <c r="E25"/>
      <c r="F25"/>
      <c r="G25"/>
    </row>
    <row r="26" spans="1:10" x14ac:dyDescent="0.3">
      <c r="A26" s="57" t="s">
        <v>118</v>
      </c>
      <c r="B26" s="58">
        <v>46189</v>
      </c>
      <c r="C26" s="64"/>
      <c r="D26"/>
      <c r="E26"/>
      <c r="F26"/>
      <c r="G26"/>
    </row>
    <row r="27" spans="1:10" x14ac:dyDescent="0.3">
      <c r="A27" s="57" t="s">
        <v>119</v>
      </c>
      <c r="B27" s="58">
        <v>46192</v>
      </c>
      <c r="C27" s="64"/>
      <c r="D27"/>
      <c r="E27"/>
      <c r="F27"/>
      <c r="G27"/>
    </row>
    <row r="28" spans="1:10" x14ac:dyDescent="0.3">
      <c r="A28" s="57" t="s">
        <v>120</v>
      </c>
      <c r="B28" s="58">
        <v>46213</v>
      </c>
      <c r="C28" s="64"/>
      <c r="D28"/>
      <c r="E28"/>
      <c r="F28"/>
      <c r="G28"/>
    </row>
    <row r="29" spans="1:10" x14ac:dyDescent="0.3">
      <c r="A29" s="57" t="s">
        <v>121</v>
      </c>
      <c r="B29" s="58">
        <v>46199</v>
      </c>
      <c r="C29" s="64"/>
      <c r="D29"/>
      <c r="E29"/>
      <c r="F29"/>
      <c r="G29"/>
    </row>
    <row r="30" spans="1:10" x14ac:dyDescent="0.3">
      <c r="A30" s="57" t="s">
        <v>122</v>
      </c>
      <c r="B30" s="58">
        <v>46220</v>
      </c>
      <c r="C30" s="64"/>
      <c r="D30"/>
      <c r="E30"/>
      <c r="F30"/>
      <c r="G30"/>
    </row>
    <row r="31" spans="1:10" x14ac:dyDescent="0.3">
      <c r="A31" s="57" t="s">
        <v>123</v>
      </c>
      <c r="B31" s="58">
        <v>46202</v>
      </c>
      <c r="C31" s="64"/>
      <c r="D31"/>
      <c r="E31"/>
      <c r="F31"/>
      <c r="G31"/>
    </row>
    <row r="32" spans="1:10" x14ac:dyDescent="0.3">
      <c r="A32" s="59" t="s">
        <v>129</v>
      </c>
      <c r="B32" s="52">
        <v>46230</v>
      </c>
      <c r="C32" s="54"/>
      <c r="D32"/>
      <c r="E32"/>
      <c r="F32"/>
      <c r="G32"/>
    </row>
    <row r="33" spans="1:10" x14ac:dyDescent="0.3">
      <c r="A33" s="59" t="s">
        <v>126</v>
      </c>
      <c r="B33" s="52">
        <v>46239</v>
      </c>
      <c r="C33" s="54"/>
      <c r="D33"/>
      <c r="E33"/>
      <c r="F33"/>
      <c r="G33"/>
    </row>
    <row r="34" spans="1:10" ht="15" thickBot="1" x14ac:dyDescent="0.35">
      <c r="A34" s="60" t="s">
        <v>125</v>
      </c>
      <c r="B34" s="53">
        <v>46213</v>
      </c>
      <c r="C34" s="55"/>
      <c r="D34"/>
      <c r="E34"/>
      <c r="F34"/>
      <c r="G34"/>
    </row>
    <row r="35" spans="1:10" ht="15" thickBot="1" x14ac:dyDescent="0.35">
      <c r="A35" s="78" t="s">
        <v>18</v>
      </c>
      <c r="B35" s="79"/>
      <c r="C35" s="62"/>
      <c r="D35"/>
      <c r="E35"/>
      <c r="F35"/>
      <c r="G35"/>
    </row>
    <row r="36" spans="1:10" ht="15" thickBot="1" x14ac:dyDescent="0.35">
      <c r="B36" s="41"/>
      <c r="D36"/>
      <c r="E36"/>
      <c r="F36"/>
      <c r="G36"/>
    </row>
    <row r="37" spans="1:10" ht="15" thickBot="1" x14ac:dyDescent="0.35">
      <c r="A37" s="77" t="s">
        <v>112</v>
      </c>
      <c r="B37" s="77"/>
      <c r="C37" s="77"/>
      <c r="D37" s="77"/>
      <c r="E37" s="73"/>
      <c r="F37" s="73"/>
      <c r="G37" s="73"/>
      <c r="H37" s="73"/>
      <c r="I37" s="73"/>
      <c r="J37" s="73"/>
    </row>
    <row r="38" spans="1:10" x14ac:dyDescent="0.3">
      <c r="A38" t="s">
        <v>16</v>
      </c>
      <c r="B38" s="12">
        <v>70</v>
      </c>
    </row>
    <row r="39" spans="1:10" x14ac:dyDescent="0.3">
      <c r="A39" s="42" t="s">
        <v>98</v>
      </c>
      <c r="B39" s="12"/>
    </row>
    <row r="40" spans="1:10" x14ac:dyDescent="0.3">
      <c r="A40" s="43" t="s">
        <v>104</v>
      </c>
      <c r="B40" s="12"/>
    </row>
    <row r="41" spans="1:10" x14ac:dyDescent="0.3">
      <c r="A41" s="43" t="s">
        <v>107</v>
      </c>
      <c r="B41" s="12"/>
    </row>
    <row r="42" spans="1:10" x14ac:dyDescent="0.3">
      <c r="A42" s="43" t="s">
        <v>108</v>
      </c>
      <c r="B42" s="12"/>
    </row>
    <row r="43" spans="1:10" x14ac:dyDescent="0.3">
      <c r="A43" s="43" t="s">
        <v>109</v>
      </c>
      <c r="B43" s="12"/>
    </row>
    <row r="44" spans="1:10" x14ac:dyDescent="0.3">
      <c r="A44" s="43" t="s">
        <v>110</v>
      </c>
      <c r="B44" s="12"/>
    </row>
    <row r="45" spans="1:10" x14ac:dyDescent="0.3">
      <c r="A45" s="42" t="s">
        <v>100</v>
      </c>
      <c r="B45" s="12"/>
    </row>
    <row r="46" spans="1:10" x14ac:dyDescent="0.3">
      <c r="A46" s="42" t="s">
        <v>101</v>
      </c>
      <c r="B46" s="12"/>
    </row>
    <row r="47" spans="1:10" x14ac:dyDescent="0.3">
      <c r="A47" s="43" t="s">
        <v>102</v>
      </c>
      <c r="B47" s="12"/>
    </row>
    <row r="48" spans="1:10" x14ac:dyDescent="0.3">
      <c r="A48" s="43" t="s">
        <v>105</v>
      </c>
      <c r="B48" s="12"/>
    </row>
    <row r="49" spans="1:43" x14ac:dyDescent="0.3">
      <c r="A49" s="43" t="s">
        <v>106</v>
      </c>
      <c r="B49" s="12"/>
    </row>
    <row r="50" spans="1:43" x14ac:dyDescent="0.3">
      <c r="A50" s="42" t="s">
        <v>99</v>
      </c>
      <c r="B50" s="12"/>
    </row>
    <row r="51" spans="1:43" x14ac:dyDescent="0.3">
      <c r="A51" s="43" t="s">
        <v>103</v>
      </c>
      <c r="B51" s="12"/>
    </row>
    <row r="52" spans="1:43" x14ac:dyDescent="0.3">
      <c r="A52" s="43" t="s">
        <v>111</v>
      </c>
      <c r="B52" s="12"/>
    </row>
    <row r="53" spans="1:43" x14ac:dyDescent="0.3">
      <c r="A53" t="s">
        <v>17</v>
      </c>
      <c r="B53" s="12">
        <v>568</v>
      </c>
    </row>
    <row r="54" spans="1:43" x14ac:dyDescent="0.3">
      <c r="A54" t="s">
        <v>18</v>
      </c>
      <c r="B54" s="13">
        <f>B38+B53</f>
        <v>638</v>
      </c>
    </row>
    <row r="55" spans="1:43" ht="15" thickBot="1" x14ac:dyDescent="0.35"/>
    <row r="56" spans="1:43" ht="15" thickBot="1" x14ac:dyDescent="0.35">
      <c r="A56" s="74" t="s">
        <v>113</v>
      </c>
      <c r="B56" s="74"/>
      <c r="C56" s="74"/>
      <c r="D56" s="74"/>
      <c r="E56" s="74"/>
    </row>
    <row r="57" spans="1:43" ht="15" thickBot="1" x14ac:dyDescent="0.35">
      <c r="A57" s="14" t="s">
        <v>19</v>
      </c>
      <c r="B57" s="25">
        <v>46180</v>
      </c>
      <c r="C57" s="25">
        <v>46187</v>
      </c>
      <c r="D57" s="25">
        <v>46194</v>
      </c>
      <c r="E57" s="25">
        <v>46201</v>
      </c>
    </row>
    <row r="58" spans="1:43" x14ac:dyDescent="0.3">
      <c r="A58" s="20" t="s">
        <v>85</v>
      </c>
      <c r="B58" s="34">
        <v>0.79</v>
      </c>
      <c r="C58" s="34">
        <v>0.74</v>
      </c>
      <c r="D58" s="34">
        <v>1.02</v>
      </c>
      <c r="E58" s="34">
        <v>0.17</v>
      </c>
    </row>
    <row r="59" spans="1:43" x14ac:dyDescent="0.3">
      <c r="A59" s="21" t="s">
        <v>87</v>
      </c>
      <c r="B59" s="35">
        <v>0.79</v>
      </c>
      <c r="C59" s="35">
        <v>0.73</v>
      </c>
      <c r="D59" s="35">
        <v>0.64</v>
      </c>
      <c r="E59" s="35">
        <v>0.61</v>
      </c>
    </row>
    <row r="60" spans="1:43" x14ac:dyDescent="0.3">
      <c r="A60" s="20" t="s">
        <v>86</v>
      </c>
      <c r="B60" s="34">
        <v>48.08</v>
      </c>
      <c r="C60" s="34">
        <v>48.82</v>
      </c>
      <c r="D60" s="34">
        <v>49.84</v>
      </c>
      <c r="E60" s="34">
        <v>50.01</v>
      </c>
    </row>
    <row r="61" spans="1:43" x14ac:dyDescent="0.3">
      <c r="A61" s="21" t="s">
        <v>88</v>
      </c>
      <c r="B61" s="35">
        <v>48.08</v>
      </c>
      <c r="C61" s="35">
        <v>48.81</v>
      </c>
      <c r="D61" s="35">
        <v>49.45</v>
      </c>
      <c r="E61" s="35">
        <v>50.06</v>
      </c>
    </row>
    <row r="62" spans="1:43" ht="15" thickBot="1" x14ac:dyDescent="0.35"/>
    <row r="63" spans="1:43" ht="15" thickBot="1" x14ac:dyDescent="0.35">
      <c r="A63" s="76" t="s">
        <v>114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</row>
    <row r="64" spans="1:43" ht="15" thickBot="1" x14ac:dyDescent="0.35">
      <c r="A64" s="26" t="s">
        <v>19</v>
      </c>
      <c r="B64" s="22">
        <v>45261</v>
      </c>
      <c r="C64" s="22">
        <v>45292</v>
      </c>
      <c r="D64" s="22">
        <v>45323</v>
      </c>
      <c r="E64" s="22">
        <v>45352</v>
      </c>
      <c r="F64" s="22">
        <v>45383</v>
      </c>
      <c r="G64" s="22">
        <v>45413</v>
      </c>
      <c r="H64" s="22">
        <v>45444</v>
      </c>
      <c r="I64" s="22">
        <v>45474</v>
      </c>
      <c r="J64" s="22">
        <v>45505</v>
      </c>
      <c r="K64" s="22">
        <v>45536</v>
      </c>
      <c r="L64" s="22">
        <v>45566</v>
      </c>
      <c r="M64" s="22">
        <v>45597</v>
      </c>
      <c r="N64" s="23">
        <v>45627</v>
      </c>
      <c r="O64" s="24">
        <v>45658</v>
      </c>
      <c r="P64" s="27">
        <v>45689</v>
      </c>
      <c r="Q64" s="22">
        <v>45717</v>
      </c>
      <c r="R64" s="22">
        <v>45748</v>
      </c>
      <c r="S64" s="22">
        <v>45778</v>
      </c>
      <c r="T64" s="22">
        <v>45809</v>
      </c>
      <c r="U64" s="22">
        <v>45839</v>
      </c>
      <c r="V64" s="22">
        <v>45870</v>
      </c>
      <c r="W64" s="22">
        <v>45901</v>
      </c>
      <c r="X64" s="22">
        <v>45931</v>
      </c>
      <c r="Y64" s="22">
        <v>45962</v>
      </c>
      <c r="Z64" s="22">
        <v>45992</v>
      </c>
      <c r="AA64" s="22">
        <v>46023</v>
      </c>
      <c r="AB64" s="22">
        <v>46054</v>
      </c>
      <c r="AC64" s="22">
        <v>46082</v>
      </c>
      <c r="AD64" s="22">
        <v>46113</v>
      </c>
      <c r="AE64" s="22">
        <v>46143</v>
      </c>
      <c r="AF64" s="22">
        <v>46174</v>
      </c>
      <c r="AG64" s="22">
        <v>46204</v>
      </c>
      <c r="AH64" s="22">
        <v>46235</v>
      </c>
      <c r="AI64" s="22">
        <v>46266</v>
      </c>
      <c r="AJ64" s="22">
        <v>46296</v>
      </c>
      <c r="AK64" s="22">
        <v>46327</v>
      </c>
      <c r="AL64" s="22">
        <v>46357</v>
      </c>
      <c r="AM64" s="22">
        <v>46388</v>
      </c>
      <c r="AN64" s="22">
        <v>46419</v>
      </c>
      <c r="AO64" s="22">
        <v>46447</v>
      </c>
      <c r="AP64" s="22">
        <v>46478</v>
      </c>
      <c r="AQ64" s="22">
        <v>46508</v>
      </c>
    </row>
    <row r="65" spans="1:43" s="19" customFormat="1" x14ac:dyDescent="0.3">
      <c r="A65" s="20" t="s">
        <v>89</v>
      </c>
      <c r="B65" s="34">
        <v>0.1</v>
      </c>
      <c r="C65" s="34">
        <v>0.45</v>
      </c>
      <c r="D65" s="34">
        <v>1.1499999999999999</v>
      </c>
      <c r="E65" s="34">
        <v>1.27</v>
      </c>
      <c r="F65" s="34">
        <v>0.9</v>
      </c>
      <c r="G65" s="34">
        <v>0.81</v>
      </c>
      <c r="H65" s="34">
        <v>0.15</v>
      </c>
      <c r="I65" s="34">
        <v>0.54</v>
      </c>
      <c r="J65" s="34">
        <v>1.45</v>
      </c>
      <c r="K65" s="34">
        <v>1.78</v>
      </c>
      <c r="L65" s="34">
        <v>1.52</v>
      </c>
      <c r="M65" s="34">
        <v>1.46</v>
      </c>
      <c r="N65" s="34">
        <v>1.9</v>
      </c>
      <c r="O65" s="34">
        <v>1.76</v>
      </c>
      <c r="P65" s="34">
        <v>0.68</v>
      </c>
      <c r="Q65" s="34">
        <v>0.8</v>
      </c>
      <c r="R65" s="34">
        <v>1.79</v>
      </c>
      <c r="S65" s="34">
        <v>1</v>
      </c>
      <c r="T65" s="34">
        <v>1.46</v>
      </c>
      <c r="U65" s="34">
        <v>1.84</v>
      </c>
      <c r="V65" s="34">
        <v>1.66</v>
      </c>
      <c r="W65" s="34">
        <v>1.96</v>
      </c>
      <c r="X65" s="34">
        <v>3.49</v>
      </c>
      <c r="Y65" s="34">
        <v>1.33</v>
      </c>
      <c r="Z65" s="34">
        <v>1.52</v>
      </c>
      <c r="AA65" s="34">
        <v>2.98</v>
      </c>
      <c r="AB65" s="34">
        <v>3.34</v>
      </c>
      <c r="AC65" s="34">
        <v>5.49</v>
      </c>
      <c r="AD65" s="34">
        <v>6.06</v>
      </c>
      <c r="AE65" s="34">
        <v>7.25</v>
      </c>
      <c r="AF65" s="34">
        <v>4.66</v>
      </c>
      <c r="AG65" s="34">
        <v>5.7</v>
      </c>
      <c r="AH65" s="34">
        <v>8.0399999999999991</v>
      </c>
      <c r="AI65" s="34">
        <v>8.18</v>
      </c>
      <c r="AJ65" s="34">
        <v>7.82</v>
      </c>
      <c r="AK65" s="34">
        <v>5.71</v>
      </c>
      <c r="AL65" s="34">
        <v>5.86</v>
      </c>
      <c r="AM65" s="34">
        <v>4.2699999999999996</v>
      </c>
      <c r="AN65" s="34">
        <v>1.88</v>
      </c>
      <c r="AO65" s="34">
        <v>1.58</v>
      </c>
      <c r="AP65" s="34">
        <v>0.75</v>
      </c>
      <c r="AQ65" s="34">
        <v>0.18</v>
      </c>
    </row>
    <row r="66" spans="1:43" s="19" customFormat="1" x14ac:dyDescent="0.3">
      <c r="A66" s="21" t="s">
        <v>90</v>
      </c>
      <c r="B66" s="35">
        <v>0.11</v>
      </c>
      <c r="C66" s="35">
        <v>0.35</v>
      </c>
      <c r="D66" s="35">
        <v>0.95</v>
      </c>
      <c r="E66" s="35">
        <v>1.32</v>
      </c>
      <c r="F66" s="35">
        <v>1.1499999999999999</v>
      </c>
      <c r="G66" s="35">
        <v>1.33</v>
      </c>
      <c r="H66" s="35">
        <v>1.23</v>
      </c>
      <c r="I66" s="35">
        <v>0.64</v>
      </c>
      <c r="J66" s="35">
        <v>1.04</v>
      </c>
      <c r="K66" s="35">
        <v>1.1299999999999999</v>
      </c>
      <c r="L66" s="35">
        <v>1.24</v>
      </c>
      <c r="M66" s="35">
        <v>0.38</v>
      </c>
      <c r="N66" s="36">
        <v>0.7</v>
      </c>
      <c r="O66" s="37">
        <v>0.4</v>
      </c>
      <c r="P66" s="37">
        <v>1.43</v>
      </c>
      <c r="Q66" s="37">
        <v>0.68</v>
      </c>
      <c r="R66" s="37">
        <v>1.03</v>
      </c>
      <c r="S66" s="37">
        <v>1.26</v>
      </c>
      <c r="T66" s="37">
        <v>1.55</v>
      </c>
      <c r="U66" s="37">
        <v>1.7</v>
      </c>
      <c r="V66" s="37">
        <v>1.71</v>
      </c>
      <c r="W66" s="37">
        <v>1.31</v>
      </c>
      <c r="X66" s="37">
        <v>1.72</v>
      </c>
      <c r="Y66" s="37">
        <v>1.3</v>
      </c>
      <c r="Z66" s="37">
        <v>1.71</v>
      </c>
      <c r="AA66" s="37">
        <v>2.5099999999999998</v>
      </c>
      <c r="AB66" s="37">
        <v>3.15</v>
      </c>
      <c r="AC66" s="37">
        <v>3.71</v>
      </c>
      <c r="AD66" s="37">
        <v>4.57</v>
      </c>
      <c r="AE66" s="37">
        <v>5.9</v>
      </c>
      <c r="AF66" s="37">
        <v>4.08</v>
      </c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</row>
    <row r="67" spans="1:43" s="19" customFormat="1" x14ac:dyDescent="0.3">
      <c r="A67" s="20" t="s">
        <v>86</v>
      </c>
      <c r="B67" s="34">
        <f>B65</f>
        <v>0.1</v>
      </c>
      <c r="C67" s="34">
        <f>C65+B67</f>
        <v>0.55000000000000004</v>
      </c>
      <c r="D67" s="34">
        <f t="shared" ref="D67:W67" si="0">D65+C67</f>
        <v>1.7</v>
      </c>
      <c r="E67" s="34">
        <v>3.01</v>
      </c>
      <c r="F67" s="34">
        <v>3.9</v>
      </c>
      <c r="G67" s="34">
        <f t="shared" si="0"/>
        <v>4.71</v>
      </c>
      <c r="H67" s="34">
        <f t="shared" si="0"/>
        <v>4.8600000000000003</v>
      </c>
      <c r="I67" s="34">
        <v>6.96</v>
      </c>
      <c r="J67" s="34">
        <v>8.41</v>
      </c>
      <c r="K67" s="34">
        <f t="shared" si="0"/>
        <v>10.19</v>
      </c>
      <c r="L67" s="34">
        <f t="shared" si="0"/>
        <v>11.709999999999999</v>
      </c>
      <c r="M67" s="34">
        <f t="shared" si="0"/>
        <v>13.169999999999998</v>
      </c>
      <c r="N67" s="34">
        <f t="shared" si="0"/>
        <v>15.069999999999999</v>
      </c>
      <c r="O67" s="34">
        <f t="shared" si="0"/>
        <v>16.829999999999998</v>
      </c>
      <c r="P67" s="34">
        <v>13.38</v>
      </c>
      <c r="Q67" s="34">
        <v>14.18</v>
      </c>
      <c r="R67" s="34">
        <v>15.69</v>
      </c>
      <c r="S67" s="34">
        <v>16.7</v>
      </c>
      <c r="T67" s="34">
        <f t="shared" si="0"/>
        <v>18.16</v>
      </c>
      <c r="U67" s="34">
        <f t="shared" si="0"/>
        <v>20</v>
      </c>
      <c r="V67" s="34">
        <f t="shared" si="0"/>
        <v>21.66</v>
      </c>
      <c r="W67" s="34">
        <f t="shared" si="0"/>
        <v>23.62</v>
      </c>
      <c r="X67" s="34">
        <v>27.1</v>
      </c>
      <c r="Y67" s="34">
        <v>25.8</v>
      </c>
      <c r="Z67" s="34">
        <f>Z65+Y67</f>
        <v>27.32</v>
      </c>
      <c r="AA67" s="34">
        <f t="shared" ref="AA67:AQ67" si="1">AA65+Z67</f>
        <v>30.3</v>
      </c>
      <c r="AB67" s="34">
        <f t="shared" si="1"/>
        <v>33.64</v>
      </c>
      <c r="AC67" s="34">
        <f t="shared" si="1"/>
        <v>39.130000000000003</v>
      </c>
      <c r="AD67" s="34">
        <v>45.2</v>
      </c>
      <c r="AE67" s="34">
        <f t="shared" si="1"/>
        <v>52.45</v>
      </c>
      <c r="AF67" s="34">
        <v>50.04</v>
      </c>
      <c r="AG67" s="34">
        <f t="shared" si="1"/>
        <v>55.74</v>
      </c>
      <c r="AH67" s="34">
        <f t="shared" si="1"/>
        <v>63.78</v>
      </c>
      <c r="AI67" s="34">
        <f t="shared" si="1"/>
        <v>71.960000000000008</v>
      </c>
      <c r="AJ67" s="34">
        <f t="shared" si="1"/>
        <v>79.78</v>
      </c>
      <c r="AK67" s="34">
        <v>85.5</v>
      </c>
      <c r="AL67" s="34">
        <v>91.35</v>
      </c>
      <c r="AM67" s="34">
        <f t="shared" si="1"/>
        <v>95.61999999999999</v>
      </c>
      <c r="AN67" s="34">
        <f t="shared" si="1"/>
        <v>97.499999999999986</v>
      </c>
      <c r="AO67" s="34">
        <f t="shared" si="1"/>
        <v>99.079999999999984</v>
      </c>
      <c r="AP67" s="34">
        <v>99.82</v>
      </c>
      <c r="AQ67" s="34">
        <f t="shared" si="1"/>
        <v>100</v>
      </c>
    </row>
    <row r="68" spans="1:43" s="19" customFormat="1" x14ac:dyDescent="0.3">
      <c r="A68" s="21" t="s">
        <v>88</v>
      </c>
      <c r="B68" s="35">
        <f>B66</f>
        <v>0.11</v>
      </c>
      <c r="C68" s="35">
        <f>C66+B68</f>
        <v>0.45999999999999996</v>
      </c>
      <c r="D68" s="35">
        <f t="shared" ref="D68:AF68" si="2">D66+C68</f>
        <v>1.41</v>
      </c>
      <c r="E68" s="35">
        <f t="shared" si="2"/>
        <v>2.73</v>
      </c>
      <c r="F68" s="35">
        <f t="shared" si="2"/>
        <v>3.88</v>
      </c>
      <c r="G68" s="35">
        <f t="shared" si="2"/>
        <v>5.21</v>
      </c>
      <c r="H68" s="35">
        <f t="shared" si="2"/>
        <v>6.4399999999999995</v>
      </c>
      <c r="I68" s="35">
        <f t="shared" si="2"/>
        <v>7.0799999999999992</v>
      </c>
      <c r="J68" s="35">
        <f t="shared" si="2"/>
        <v>8.1199999999999992</v>
      </c>
      <c r="K68" s="35">
        <f t="shared" si="2"/>
        <v>9.25</v>
      </c>
      <c r="L68" s="35">
        <f t="shared" si="2"/>
        <v>10.49</v>
      </c>
      <c r="M68" s="35">
        <f t="shared" si="2"/>
        <v>10.870000000000001</v>
      </c>
      <c r="N68" s="35">
        <f t="shared" si="2"/>
        <v>11.57</v>
      </c>
      <c r="O68" s="35">
        <f t="shared" si="2"/>
        <v>11.97</v>
      </c>
      <c r="P68" s="35">
        <f t="shared" si="2"/>
        <v>13.4</v>
      </c>
      <c r="Q68" s="35">
        <f t="shared" si="2"/>
        <v>14.08</v>
      </c>
      <c r="R68" s="35">
        <f t="shared" si="2"/>
        <v>15.11</v>
      </c>
      <c r="S68" s="35">
        <f t="shared" si="2"/>
        <v>16.37</v>
      </c>
      <c r="T68" s="35">
        <f t="shared" si="2"/>
        <v>17.920000000000002</v>
      </c>
      <c r="U68" s="35">
        <f t="shared" si="2"/>
        <v>19.62</v>
      </c>
      <c r="V68" s="35">
        <f t="shared" si="2"/>
        <v>21.330000000000002</v>
      </c>
      <c r="W68" s="35">
        <f t="shared" si="2"/>
        <v>22.64</v>
      </c>
      <c r="X68" s="35">
        <v>24.44</v>
      </c>
      <c r="Y68" s="35">
        <f t="shared" si="2"/>
        <v>25.740000000000002</v>
      </c>
      <c r="Z68" s="35">
        <f t="shared" si="2"/>
        <v>27.450000000000003</v>
      </c>
      <c r="AA68" s="35">
        <f t="shared" si="2"/>
        <v>29.96</v>
      </c>
      <c r="AB68" s="35">
        <f t="shared" si="2"/>
        <v>33.11</v>
      </c>
      <c r="AC68" s="35">
        <f t="shared" si="2"/>
        <v>36.82</v>
      </c>
      <c r="AD68" s="35">
        <f t="shared" si="2"/>
        <v>41.39</v>
      </c>
      <c r="AE68" s="35">
        <f t="shared" si="2"/>
        <v>47.29</v>
      </c>
      <c r="AF68" s="35">
        <f t="shared" si="2"/>
        <v>51.37</v>
      </c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</row>
    <row r="69" spans="1:43" ht="15" thickBot="1" x14ac:dyDescent="0.35"/>
    <row r="70" spans="1:43" ht="15" thickBot="1" x14ac:dyDescent="0.35">
      <c r="A70" s="75" t="s">
        <v>115</v>
      </c>
      <c r="B70" s="75"/>
      <c r="C70" s="75"/>
      <c r="D70"/>
      <c r="E70"/>
      <c r="F70"/>
      <c r="G70"/>
    </row>
    <row r="71" spans="1:43" x14ac:dyDescent="0.3">
      <c r="A71" s="4" t="s">
        <v>84</v>
      </c>
      <c r="B71" s="4" t="s">
        <v>8</v>
      </c>
      <c r="C71" s="4" t="s">
        <v>9</v>
      </c>
      <c r="D71"/>
      <c r="E71"/>
      <c r="F71"/>
      <c r="G71"/>
    </row>
    <row r="72" spans="1:43" ht="15" x14ac:dyDescent="0.3">
      <c r="A72" s="5" t="s">
        <v>84</v>
      </c>
      <c r="B72" s="38" t="s">
        <v>8</v>
      </c>
      <c r="C72" s="38" t="s">
        <v>9</v>
      </c>
      <c r="D72"/>
      <c r="E72"/>
      <c r="F72"/>
      <c r="G72"/>
    </row>
    <row r="73" spans="1:43" ht="15" x14ac:dyDescent="0.3">
      <c r="A73" s="5" t="s">
        <v>20</v>
      </c>
      <c r="B73" s="38">
        <v>84.09</v>
      </c>
      <c r="C73" s="38">
        <v>79.02</v>
      </c>
      <c r="D73"/>
      <c r="E73"/>
      <c r="F73"/>
      <c r="G73"/>
    </row>
    <row r="74" spans="1:43" ht="15" x14ac:dyDescent="0.3">
      <c r="A74" s="5" t="s">
        <v>58</v>
      </c>
      <c r="B74" s="38">
        <v>39.33</v>
      </c>
      <c r="C74" s="38">
        <v>6.25</v>
      </c>
      <c r="D74"/>
      <c r="E74"/>
      <c r="F74"/>
      <c r="G74"/>
    </row>
    <row r="75" spans="1:43" ht="15" x14ac:dyDescent="0.3">
      <c r="A75" s="5" t="s">
        <v>59</v>
      </c>
      <c r="B75" s="38">
        <v>97.27</v>
      </c>
      <c r="C75" s="38">
        <v>66.84</v>
      </c>
      <c r="D75"/>
      <c r="E75"/>
      <c r="F75"/>
      <c r="G75"/>
    </row>
    <row r="76" spans="1:43" ht="15" x14ac:dyDescent="0.3">
      <c r="A76" s="5" t="s">
        <v>60</v>
      </c>
      <c r="B76" s="38">
        <v>95.58</v>
      </c>
      <c r="C76" s="38">
        <v>63.160000000000004</v>
      </c>
      <c r="D76"/>
      <c r="E76"/>
      <c r="F76"/>
      <c r="G76"/>
    </row>
    <row r="77" spans="1:43" ht="15" x14ac:dyDescent="0.3">
      <c r="A77" s="5" t="s">
        <v>61</v>
      </c>
      <c r="B77" s="38">
        <v>75.819999999999993</v>
      </c>
      <c r="C77" s="38">
        <v>64.48</v>
      </c>
      <c r="D77"/>
      <c r="E77"/>
      <c r="F77"/>
      <c r="G77"/>
    </row>
    <row r="78" spans="1:43" ht="15" x14ac:dyDescent="0.3">
      <c r="A78" s="5" t="s">
        <v>62</v>
      </c>
      <c r="B78" s="38">
        <v>69.86</v>
      </c>
      <c r="C78" s="38">
        <v>62.79</v>
      </c>
      <c r="D78"/>
      <c r="E78"/>
      <c r="F78"/>
      <c r="G78"/>
    </row>
    <row r="79" spans="1:43" ht="15" x14ac:dyDescent="0.3">
      <c r="A79" s="5" t="s">
        <v>63</v>
      </c>
      <c r="B79" s="38">
        <v>63.660000000000004</v>
      </c>
      <c r="C79" s="38">
        <v>51.61</v>
      </c>
      <c r="D79"/>
      <c r="E79"/>
      <c r="F79"/>
      <c r="G79"/>
    </row>
    <row r="80" spans="1:43" ht="15" x14ac:dyDescent="0.3">
      <c r="A80" s="5" t="s">
        <v>64</v>
      </c>
      <c r="B80" s="38">
        <v>58.45</v>
      </c>
      <c r="C80" s="38">
        <v>46.79</v>
      </c>
      <c r="D80"/>
      <c r="E80"/>
      <c r="F80"/>
      <c r="G80"/>
    </row>
    <row r="81" spans="1:7" ht="15" x14ac:dyDescent="0.3">
      <c r="A81" s="5" t="s">
        <v>65</v>
      </c>
      <c r="B81" s="38">
        <v>70.39</v>
      </c>
      <c r="C81" s="38">
        <v>70.289999999999992</v>
      </c>
      <c r="D81"/>
      <c r="E81"/>
      <c r="F81"/>
      <c r="G81"/>
    </row>
    <row r="82" spans="1:7" ht="15" x14ac:dyDescent="0.3">
      <c r="A82" s="5" t="s">
        <v>66</v>
      </c>
      <c r="B82" s="38">
        <v>64.48</v>
      </c>
      <c r="C82" s="38">
        <v>70.25</v>
      </c>
      <c r="D82"/>
      <c r="E82"/>
      <c r="F82"/>
      <c r="G82"/>
    </row>
    <row r="83" spans="1:7" ht="15" x14ac:dyDescent="0.3">
      <c r="A83" s="5" t="s">
        <v>67</v>
      </c>
      <c r="B83" s="38">
        <v>64.98</v>
      </c>
      <c r="C83" s="38">
        <v>64.55</v>
      </c>
      <c r="D83"/>
      <c r="E83"/>
      <c r="F83"/>
      <c r="G83"/>
    </row>
    <row r="84" spans="1:7" ht="15" x14ac:dyDescent="0.3">
      <c r="A84" s="5" t="s">
        <v>68</v>
      </c>
      <c r="B84" s="38">
        <v>69.31</v>
      </c>
      <c r="C84" s="38">
        <v>56.98</v>
      </c>
      <c r="D84"/>
      <c r="E84"/>
      <c r="F84"/>
      <c r="G84"/>
    </row>
    <row r="85" spans="1:7" ht="15" x14ac:dyDescent="0.3">
      <c r="A85" s="5" t="s">
        <v>69</v>
      </c>
      <c r="B85" s="38">
        <v>48.08</v>
      </c>
      <c r="C85" s="38">
        <v>32.729999999999997</v>
      </c>
      <c r="D85"/>
      <c r="E85"/>
      <c r="F85"/>
      <c r="G85"/>
    </row>
    <row r="86" spans="1:7" ht="15" x14ac:dyDescent="0.3">
      <c r="A86" s="5" t="s">
        <v>70</v>
      </c>
      <c r="B86" s="38">
        <v>67.39</v>
      </c>
      <c r="C86" s="38">
        <v>41.92</v>
      </c>
      <c r="D86"/>
      <c r="E86"/>
      <c r="F86"/>
      <c r="G86"/>
    </row>
    <row r="87" spans="1:7" ht="15" x14ac:dyDescent="0.3">
      <c r="A87" s="5" t="s">
        <v>71</v>
      </c>
      <c r="B87" s="38">
        <v>57.720000000000006</v>
      </c>
      <c r="C87" s="38">
        <v>55.1</v>
      </c>
      <c r="D87"/>
      <c r="E87"/>
      <c r="F87"/>
      <c r="G87"/>
    </row>
    <row r="88" spans="1:7" ht="15" x14ac:dyDescent="0.3">
      <c r="A88" s="5" t="s">
        <v>72</v>
      </c>
      <c r="B88" s="38">
        <v>54.96</v>
      </c>
      <c r="C88" s="38">
        <v>45.410000000000004</v>
      </c>
      <c r="D88"/>
      <c r="E88"/>
      <c r="F88"/>
      <c r="G88"/>
    </row>
    <row r="89" spans="1:7" ht="15" x14ac:dyDescent="0.3">
      <c r="A89" s="5" t="s">
        <v>73</v>
      </c>
      <c r="B89" s="38">
        <v>45.9</v>
      </c>
      <c r="C89" s="38">
        <v>46.150000000000006</v>
      </c>
      <c r="D89"/>
      <c r="E89"/>
      <c r="F89"/>
      <c r="G89"/>
    </row>
    <row r="90" spans="1:7" ht="15" x14ac:dyDescent="0.3">
      <c r="A90" s="5" t="s">
        <v>74</v>
      </c>
      <c r="B90" s="38">
        <v>41.63</v>
      </c>
      <c r="C90" s="38">
        <v>38.29</v>
      </c>
      <c r="D90"/>
      <c r="E90"/>
      <c r="F90"/>
      <c r="G90"/>
    </row>
    <row r="91" spans="1:7" ht="15" x14ac:dyDescent="0.3">
      <c r="A91" s="5" t="s">
        <v>75</v>
      </c>
      <c r="B91" s="38">
        <v>27.400000000000002</v>
      </c>
      <c r="C91" s="38">
        <v>27.82</v>
      </c>
      <c r="D91"/>
      <c r="E91"/>
      <c r="F91"/>
      <c r="G91"/>
    </row>
    <row r="92" spans="1:7" ht="15" x14ac:dyDescent="0.3">
      <c r="A92" s="5" t="s">
        <v>76</v>
      </c>
      <c r="B92" s="38">
        <v>22.79</v>
      </c>
      <c r="C92" s="38">
        <v>22.91</v>
      </c>
      <c r="D92"/>
      <c r="E92"/>
      <c r="F92"/>
      <c r="G92"/>
    </row>
    <row r="93" spans="1:7" ht="15" x14ac:dyDescent="0.3">
      <c r="A93" s="5" t="s">
        <v>77</v>
      </c>
      <c r="B93" s="38">
        <v>18.87</v>
      </c>
      <c r="C93" s="38">
        <v>18.740000000000002</v>
      </c>
      <c r="D93"/>
      <c r="E93"/>
      <c r="F93"/>
      <c r="G93"/>
    </row>
    <row r="94" spans="1:7" ht="15" x14ac:dyDescent="0.3">
      <c r="A94" s="5" t="s">
        <v>78</v>
      </c>
      <c r="B94" s="38">
        <v>20.93</v>
      </c>
      <c r="C94" s="38">
        <v>20.75</v>
      </c>
      <c r="D94"/>
      <c r="E94"/>
      <c r="F94"/>
      <c r="G94"/>
    </row>
    <row r="95" spans="1:7" ht="15" x14ac:dyDescent="0.3">
      <c r="A95" s="5" t="s">
        <v>79</v>
      </c>
      <c r="B95" s="38">
        <v>20.91</v>
      </c>
      <c r="C95" s="38">
        <v>20.11</v>
      </c>
      <c r="D95"/>
      <c r="E95"/>
      <c r="F95"/>
      <c r="G95"/>
    </row>
    <row r="96" spans="1:7" ht="15" x14ac:dyDescent="0.3">
      <c r="A96" s="5" t="s">
        <v>80</v>
      </c>
      <c r="B96" s="38">
        <v>22.009999999999998</v>
      </c>
      <c r="C96" s="38">
        <v>21.25</v>
      </c>
      <c r="D96"/>
      <c r="E96"/>
      <c r="F96"/>
      <c r="G96"/>
    </row>
    <row r="97" spans="1:7" ht="15" x14ac:dyDescent="0.3">
      <c r="A97" s="5" t="s">
        <v>81</v>
      </c>
      <c r="B97" s="38">
        <v>9.17</v>
      </c>
      <c r="C97" s="38">
        <v>8.6199999999999992</v>
      </c>
      <c r="D97"/>
      <c r="E97"/>
      <c r="F97"/>
      <c r="G97"/>
    </row>
    <row r="98" spans="1:7" ht="15" x14ac:dyDescent="0.3">
      <c r="A98" s="5" t="s">
        <v>54</v>
      </c>
      <c r="B98" s="38">
        <v>24.13</v>
      </c>
      <c r="C98" s="38">
        <v>8.2900000000000009</v>
      </c>
      <c r="D98"/>
      <c r="E98"/>
      <c r="F98"/>
      <c r="G98"/>
    </row>
  </sheetData>
  <mergeCells count="14">
    <mergeCell ref="A35:B35"/>
    <mergeCell ref="A1:D1"/>
    <mergeCell ref="A2:B2"/>
    <mergeCell ref="A3:A4"/>
    <mergeCell ref="A6:D6"/>
    <mergeCell ref="A7:D7"/>
    <mergeCell ref="A11:D11"/>
    <mergeCell ref="A18:D18"/>
    <mergeCell ref="A22:D22"/>
    <mergeCell ref="E37:J37"/>
    <mergeCell ref="A56:E56"/>
    <mergeCell ref="A70:C70"/>
    <mergeCell ref="A63:AQ63"/>
    <mergeCell ref="A37:D3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E98B6344AEFB4C8FBEBBDF0A021AD5" ma:contentTypeVersion="5" ma:contentTypeDescription="Crie um novo documento." ma:contentTypeScope="" ma:versionID="60d29d5d407ba36989b06b45eef8d325">
  <xsd:schema xmlns:xsd="http://www.w3.org/2001/XMLSchema" xmlns:xs="http://www.w3.org/2001/XMLSchema" xmlns:p="http://schemas.microsoft.com/office/2006/metadata/properties" xmlns:ns3="023077a8-da6b-47b8-895c-47fc38f71407" targetNamespace="http://schemas.microsoft.com/office/2006/metadata/properties" ma:root="true" ma:fieldsID="2435c1584b8db41130ac099fa0c61caa" ns3:_="">
    <xsd:import namespace="023077a8-da6b-47b8-895c-47fc38f714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077a8-da6b-47b8-895c-47fc38f714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3077a8-da6b-47b8-895c-47fc38f71407" xsi:nil="true"/>
  </documentManagement>
</p:properties>
</file>

<file path=customXml/itemProps1.xml><?xml version="1.0" encoding="utf-8"?>
<ds:datastoreItem xmlns:ds="http://schemas.openxmlformats.org/officeDocument/2006/customXml" ds:itemID="{2D1F8C99-BB3A-4E21-8ED8-75A237BD7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077a8-da6b-47b8-895c-47fc38f714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89AF43-701D-4055-A87D-25C61F6DB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A93F51-E293-4922-8FF2-1403ED564CA1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023077a8-da6b-47b8-895c-47fc38f71407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PLATZ</vt:lpstr>
      <vt:lpstr>SABARÁ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 SDI</dc:creator>
  <cp:lastModifiedBy>Flavio Gusman</cp:lastModifiedBy>
  <dcterms:created xsi:type="dcterms:W3CDTF">2026-06-12T18:59:01Z</dcterms:created>
  <dcterms:modified xsi:type="dcterms:W3CDTF">2026-07-08T19:56:49Z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0x010100CCE98B6344AEFB4C8FBEBBDF0A021AD5</vt:lpwstr>
  </property>
</Properties>
</file>